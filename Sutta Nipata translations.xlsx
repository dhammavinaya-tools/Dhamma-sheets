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haka" sheetId="1" r:id="rId4"/>
    <sheet state="visible" name="Pārāyana" sheetId="2" r:id="rId5"/>
    <sheet state="visible" name="Muni" sheetId="3" r:id="rId6"/>
  </sheets>
  <definedNames>
    <definedName hidden="1" localSheetId="0" name="_xlnm._FilterDatabase">Atthaka!$A$2:$N$2</definedName>
    <definedName hidden="1" localSheetId="2" name="_xlnm._FilterDatabase">Muni!$A$2:$K$2</definedName>
  </definedNames>
  <calcPr/>
</workbook>
</file>

<file path=xl/sharedStrings.xml><?xml version="1.0" encoding="utf-8"?>
<sst xmlns="http://schemas.openxmlformats.org/spreadsheetml/2006/main" count="4161" uniqueCount="2561">
  <si>
    <t xml:space="preserve">Atthaka vagga </t>
  </si>
  <si>
    <t>Translators approach</t>
  </si>
  <si>
    <t>Meaning, root meaning of words
same order of lines</t>
  </si>
  <si>
    <t>Retain the directness and urgency, reference to K.R. Norman, Bhikkhu Bodhi, and  Ñāṇadīpa</t>
  </si>
  <si>
    <t>free verse,  fewest distortions in meaning, poetic energy Thai</t>
  </si>
  <si>
    <t>accurate and readable version
rendering the verses in a style that is more uplifting</t>
  </si>
  <si>
    <t>Poetic aesthetics 
capture the subtlety of the Pali language</t>
  </si>
  <si>
    <t xml:space="preserve">Diferent approache occasionally more natural interpretations </t>
  </si>
  <si>
    <t>Impact on the mind</t>
  </si>
  <si>
    <t xml:space="preserve">engaging in philosophical debates (4:3, 4:5, 4:8, 4:11–13), </t>
  </si>
  <si>
    <t xml:space="preserve">Sutta </t>
  </si>
  <si>
    <t xml:space="preserve">Pali Name </t>
  </si>
  <si>
    <t>English Name</t>
  </si>
  <si>
    <t>Pali</t>
  </si>
  <si>
    <t xml:space="preserve">Ven. Ñanadipa </t>
  </si>
  <si>
    <t xml:space="preserve">Ven. Sujato </t>
  </si>
  <si>
    <t>Ven. Thanissaro</t>
  </si>
  <si>
    <t xml:space="preserve">Ven. Bodhi </t>
  </si>
  <si>
    <t xml:space="preserve">Laurence Mills </t>
  </si>
  <si>
    <t>Chinese Bapat</t>
  </si>
  <si>
    <t xml:space="preserve">Composition </t>
  </si>
  <si>
    <t>Vv #</t>
  </si>
  <si>
    <t>Notes</t>
  </si>
  <si>
    <t>Theme</t>
  </si>
  <si>
    <t>KĀMA</t>
  </si>
  <si>
    <t>Sensual Pleasures 
Objects of desire</t>
  </si>
  <si>
    <t>kāmaṁ kāmayamānassa /
tassa ce taṁ samijjhati /
addhā pītimano hoti /
 laddhā macco yadicchati</t>
  </si>
  <si>
    <t>If when a man is lusting for a sensual pleasure
he succeeds in [getting] it,
all joyful indeed he becomes
having got what he wanted</t>
  </si>
  <si>
    <t>If a mortal desires sensual pleasure
and their desire succeeds,
they definitely become elated,
having got what they want.</t>
  </si>
  <si>
    <t>If one, longing for sensual pleasure,
achieves it, yes,
he’s enraptured at heart.
The mortal gets what he wants.</t>
  </si>
  <si>
    <t>When a mortal desires sensual pleasure,
if that succeeds for him,
surely he is elated in mind,
having gained what he desires.</t>
  </si>
  <si>
    <t>If one with a desiring mind
Succeeds in gaining sensual pleasure,
A mortal such is pleased in mind
With wishes all fulfilled</t>
  </si>
  <si>
    <t>One’s brooding doth one increase, and his cravingsdoth he pursue,
Having already obtained things, he further craves after them;
Every day doth he increase [his longing] and ever doth he rejoice,
When he has obtained the possession of _things [he wanted]</t>
  </si>
  <si>
    <t>See also: MN 13–14; MN 22; MN 54; SN 1:20; SN 35:63; SN 35:115; SN 35:197; AN 6:63; Sn 2:8; Thag 5:1; Thag 7:1; Thag 10:5; Thig 5:4; Thig 13:5</t>
  </si>
  <si>
    <t xml:space="preserve">Renunciation </t>
  </si>
  <si>
    <t>tassa ce kāmayānassa / chandajātassa jantuno/
te kāmā parihāyanti / sallaviddhova ruppati</t>
  </si>
  <si>
    <t>If while a person is lusting
and full of desire
those sensual pleasures fall away from him
he gets afflicted as if pierced by a barb</t>
  </si>
  <si>
    <t>But for that person in the throes of pleasure,
aroused by desire,
if those pleasures fade,
it hurts like an arrow’s strike</t>
  </si>
  <si>
    <t>But if for that person
—longing, desiring—
the pleasures diminish,
he’s afflicted,
as if shot with an arrow.</t>
  </si>
  <si>
    <t>But when, full of sensual desire,
a person is aroused by desire,
if those sensual pleasures decline,
he is afflicted as if pierced by a dart.</t>
  </si>
  <si>
    <t>But if from this person passionate
all of these pleasures disappear,
then does this pleasure-addict feel,
as though by arrows pierced.</t>
  </si>
  <si>
    <t>The worldly desires who-so-ever covets,
And sits tight over them——that stupid fool,
In his very desires, he gets wrecked and ruined,
As when, with a poisonous dart. his body gets
pierced</t>
  </si>
  <si>
    <t>Pali story agrees with that in Chinese in the
story of the present. But Pali has no story
of the past given</t>
  </si>
  <si>
    <t>yo kāme parivajjeti / sappasseva padā siro
somaṁ visattikaṁ loke /
 sato samativattati</t>
  </si>
  <si>
    <t>Whoever avoids sensual pleasures
as if the head of a snake with his foot,
the sticky nature of the world
he mindfully passes over</t>
  </si>
  <si>
    <t>One who, being mindful,
avoids sensual pleasures
like side-stepping a snake’s head,
transcends attachment to the world</t>
  </si>
  <si>
    <t>Whoever avoids sensual desires
—as he would, with his foot,
the head of a snake—
goes beyond, mindful,
this attachment in the world.</t>
  </si>
  <si>
    <t>One who avoids sensual pleasures
like a serpent’s head with the foot,
being mindful, overcomes
this attachment to the world.</t>
  </si>
  <si>
    <t>The one who shuns these pleasures of sense,
like treading not on a serpent’s head,
such a one with mindfulness
this tangled world transcends.</t>
  </si>
  <si>
    <t>From desires he keeps himself far,
As from treading upon a serpent’s head.
The pleasure of the world he gets all over,
And by practising concentration, a trance doth he attain</t>
  </si>
  <si>
    <t>khettaṁ vatthuṁ hiraññaṁ vā / gavassaṁ dāsaporisaṁ
thiyo bandhū puthu kāme / yo naro anugijjhati</t>
  </si>
  <si>
    <t>Fields and land, or gold,
cows and horses, slaves and servants,
women and relations, various sensual pleasures,
if for these a man has greed,</t>
  </si>
  <si>
    <t>There are many objects of sensual desire:
fields, lands, and gold; cattle and horses;
slaves and servants; women and relatives.
When a man lusts over these</t>
  </si>
  <si>
    <t>A man who is greedy
for fields, land, gold,
cattle, horses,
servants, employees,
women, relatives,
many sensual pleasures,</t>
  </si>
  <si>
    <t>Fields, land, or bullion,
cattle and horses, slaves and servants,
women, relatives — when a person greedily
longs for various sensual pleasures,</t>
  </si>
  <si>
    <t>Obsessed with fields and property,
with money, estates and those employed,
with many pleasures, women and kin,
such a person greedily—</t>
  </si>
  <si>
    <t>In fields and grains and treasures precious, cows, horses,
[Servants] that depend upon him, relations and pleasures,
He gets engrossed—that stupid fool,
Who thus inflicts injury upon his own self</t>
  </si>
  <si>
    <t>abalā naṁ balīyanti / maddantenaṁ parissayā
tato naṁ dukkhamanveti / nāvaṁ bhinnamivodakaṁ</t>
  </si>
  <si>
    <t>they, though being powerless, overpower him.
His surroundings crush him.
Then misery enters into him
like water into a broken boat.</t>
  </si>
  <si>
    <t>the weak overpower him
and adversities crush him.
Suffering follows him
like water in a leaky boat.</t>
  </si>
  <si>
    <t>is overpowered with weakness
and trampled by trouble,
for pain invades him
as water, a cracked boat.</t>
  </si>
  <si>
    <t>even the weak overpower him;
obstacles crush him.
Then suffering enters him
as water does a broken boat.</t>
  </si>
  <si>
    <t>Do weaknesses bring down indeed,
by dangers is that person crushed,
and then by dukkhas stuck against—
as water into broken boat.</t>
  </si>
  <si>
    <t>Though powerless, him [surely] do overpower
These enemies, that score victory over him.
To darkness is he consigned and suiferings doth he experience,
Like a boat, that is wrecked in the midst of the sea</t>
  </si>
  <si>
    <t>tasmā jantu sadā sato / kāmāni parivajjaye
te pahāya tare oghaṁ / nāvaṁ sitvāva pāragūti</t>
  </si>
  <si>
    <t>Therefore a person always mindful
should avoid sensual pleasures.
Having abandoned them he would cross the flood
like one who has gone to the far shore after bailing out the boat</t>
  </si>
  <si>
    <t>That’s why a person, ever mindful,
should avoid sensual pleasures.
Give them up and cross the flood,
as a bailed-out boat reaches the far shore</t>
  </si>
  <si>
    <t>So one, always mindful,
should avoid sensual desires.
Letting them go,
he’dcross over the flood
like one who, having bailed out the boat, has reached the far shore.</t>
  </si>
  <si>
    <t>Therefore, ever mindful, a person
should avoid sensual pleasures.
Having abandoned them, one can cross the flood,
as by bailing out the boat one can reach the far shore.</t>
  </si>
  <si>
    <t>So let a mindful one avoid
at every turn these sense-desires,
with them abandoned, cross the flood,
as boat is baled for the Further Shore.</t>
  </si>
  <si>
    <t>Therefore, one’s mind must one restrain,"
And from desires and violations keep aloof;
- With exertions, he must seek the yonder shore
And row the boat on to that which is safe</t>
  </si>
  <si>
    <t>GUHAṬṬHAKA</t>
  </si>
  <si>
    <t>Cave octet</t>
  </si>
  <si>
    <t>satto guhāyaṁ bahunābhichanno
tiṭṭhaṁ naro mohanasmiṁ pagāḷho
dūre vivekā hi tathāvidho so
kāmā hi loke na hi suppahāyā</t>
  </si>
  <si>
    <t>Imprisoned in a cave, covered over by much,
the man stands who is immersed in delusion.
Such a one is far indeed from seclusion
for sensual pleasures in the world are not easy to abandon.</t>
  </si>
  <si>
    <t>Trapped in a cave, thickly overspread,
sunk in delusion they stay.
A person like this is far from seclusion,
for sensual pleasures in the world are not easy to give up.</t>
  </si>
  <si>
    <t>Staying attached to the cave,
covered heavily over,
a person sunk in confusion
is far from seclusion—
for sensual pleasures
sensual desires
in the world
are not lightly let go.</t>
  </si>
  <si>
    <t>Stuck in the cave, densely covered over,
dwelling immersed in bewilderment, 
a person such as this is far from seclusion,
for in the world sensual pleasures are not easily abandoned.</t>
  </si>
  <si>
    <t>The person who’s to their body-cave
Clouded by many moods, and in delusion sunk,
Hard it is for that one, far from detachment,
To abandon sensual pleasures in the world.</t>
  </si>
  <si>
    <t>To his house being bound, many things he craves‘ for,
In delusion is he merged, and in wrong course
stands firm.
By delusion overcome, from the right path‘ he strays;
Thoughts of craving are hard to be tenderly
treated</t>
  </si>
  <si>
    <t>See also: SN 35:189; Thag 16:4; Sn 4:15</t>
  </si>
  <si>
    <t>icchānidānā bhavasātabaddhā
te duppamuñcā na hi aññamokkhā
pacchā pure vāpi apekkhamānā
ime va kāme purime va jappaṁ</t>
  </si>
  <si>
    <t>Tied down to want, bound to the pleasure of existing,
they are hard to free, not freeable by others.
Now looking behind, now looking ahead,
they hanker now after these, now after the former pleasures.</t>
  </si>
  <si>
    <t>The chains of desire, the bonds of life’s pleasures
are hard to escape, for one cannot free another.
Looking to the past or the future,
they pray for these pleasures or former ones.</t>
  </si>
  <si>
    <t>Those chained by desire,
bound by becoming’s allure,
aren’t easily released
for there’s no liberation by others.
Intent, in front or behind,
on hunger for sensual pleasures
here or before</t>
  </si>
  <si>
    <t>Based upon desire, bound to enjoyment of existence,
they let go with difficulty, for there is no release through others.
Concerned, too, with the future or the past,
they hanker for these sensual pleasures or earlier ones.</t>
  </si>
  <si>
    <t>Bound the worldly pleasures of the past,
And hard to liberate are they in future time,
From others they’re not free, not liberated—
They’re attached to past and the future too.</t>
  </si>
  <si>
    <t>To this life and birth attached, doth he sit,
And those that are firmly bound to worldly things,
he hardly can release ;'
Things of the past or future, he never doth glance,
' But to the present is kindly disposed as sure as [ever-]
before.</t>
  </si>
  <si>
    <t>Similar occasion and the place of incident
the same (country of Kauéambi) but the
details of the story difier</t>
  </si>
  <si>
    <t>kāmesu giddhā pasutā pamūḷhā
avadāniyā te visame niviṭṭhā
dukkhūpanītā paridevayanti
kiṁsū bhavissāma ito cutāse</t>
  </si>
  <si>
    <t>Greedy, engrossed, infatuated with pleasures
they are incorrigible,1
 entered upon an uneven path.
Brought into misery they lament: 
“What shall we become when we fall away from this.”</t>
  </si>
  <si>
    <t>Greedy, fixated, infatuated by sensual pleasures,
they are incorrigible, habitually immoral.
When led to suffering they lament,
“What will become of us when we pass away from here?</t>
  </si>
  <si>
    <t>greedy
for sensual pleasures,
busy, deluded, ungenerous,
entrenched in the discordant way,4
they—impelled into pain—lament:
“What will we be
when we pass on from here?</t>
  </si>
  <si>
    <t>Those greedy for sensual pleasures, intent on them,
are confused, stingy, settled in the unrighteous.
When they come upon suffering they lament:
“What will we be after we pass away here?”</t>
  </si>
  <si>
    <t>Those who are niggardly, who hank after pleasures,
infatuated they are, all their things—losses all!
But subjected to pain they lament their losses—
For how can all this be taken away, they wail?</t>
  </si>
  <si>
    <t>Excessively greedy, as by delusion is he blinded;
e Not knowing that wrong things are accumulating
p to his credit;
Though suffering, with this longing doth he sit-
“From here, what [place] shall I go to‘ 1 ?”</t>
  </si>
  <si>
    <t>tasmā hi sikkhetha idheva jantu
yaṁ kiñci jaññā visamanti loke
na tassa hetū visamaṁ careyya
appañhidaṁ jīvitamāhu dhīrā</t>
  </si>
  <si>
    <t>Therefore a person should train himself in this way:
whatever he would come to know as uneven in the world
not for the sake of that should he practice unevenly;
for short indeed is this life, the wise say.</t>
  </si>
  <si>
    <t>That’s why a person should train in this life:
should you know that anything in the world is wrong,
don’t act wrongly on account of that;
for the wise say this life is short</t>
  </si>
  <si>
    <t>So a person should train
right here-&amp;-now.
Whatever you know
as discordant in the world,
don’t, for its sake, act discordantly,
for that life, the enlightened say, is short.</t>
  </si>
  <si>
    <t>Therefore a person should train right here:
whatever in the world one might know as unrighteous,
one should not on its account act unrighteously,
for the wise say this life is short.</t>
  </si>
  <si>
    <t>Therefore should a person train,
Seeing the roughness of the world,
To take not to a wicked way,
For the wise say, life is short!</t>
  </si>
  <si>
    <t>A man that is born" should know_ this:
"The world that is amiss is hard to lean on;
Leaving the right, no thoughts of attachments I
- should cherish;
Short is my life and Death very near."</t>
  </si>
  <si>
    <t>passāmi loke pariphandamānaṁ
pajaṁ imaṁ taṇhagataṁ bhavesu
hīnā narā maccumukhe lapanti
avītataṇhāse bhavābhavesu</t>
  </si>
  <si>
    <t>I see in the world the trembling humankind
involved with craving for repeated existences,
poor people who wail in the face of death
not freed of craving for various existences.</t>
  </si>
  <si>
    <t>I see the world’s population floundering,
given to craving for future lives.
Base men wail in the jaws of death,
not rid of craving for life after life.</t>
  </si>
  <si>
    <t>I see them,
in the world, floundering around,
people immersed in craving
for states of becoming.
Base people moan in the mouth of death,
their craving, for states of becoming &amp;not-, unallayed.</t>
  </si>
  <si>
    <t>I see in the world this population trembling all over,
addicted to craving for states of existence;
inferior people prattle in the mouth of death,
not devoid of craving for various states of existence.</t>
  </si>
  <si>
    <t>I see here trembling, fearful in the world,
These people gone under the sway of craving for births¹—
Base people floundering in the jaws of death,
Not free from craving for repeated birth.</t>
  </si>
  <si>
    <t xml:space="preserve">Widely unfolded is the suffering in this world-Life and Death and this flood of craving.
Till the time of death, over hatred doth one brood,
Because of craving for this world, that is widely
_ rejected </t>
  </si>
  <si>
    <t>mamāyite passatha phandamāne
maccheva appodake khīṇasote
etampi disvā amamo careyya
bhavesu āsattimakubbamāno</t>
  </si>
  <si>
    <t>See how they tremble in what they made “mine”
like fish in a pool after the flow has ceased.
Having seen that one should live without ‘mine-making’
not forming attachment for existences.</t>
  </si>
  <si>
    <t>See them flounder over belongings,
like fish in puddles of a dried-up stream.
Seeing this, live unselfishly,
forming no attachment to future lives.</t>
  </si>
  <si>
    <t>See them,
floundering in their sense of mine,
like fish in the puddles
of a dried-up stream
and, seeing this,
live with no mine,
not forming attachment
for states of becoming.</t>
  </si>
  <si>
    <t>See them trembling over things taken as “mine”
like fish in a depleted stream with little water.
Having seen this too, one should take nothing as “mine,”
not forming attachment to states of existence.</t>
  </si>
  <si>
    <t>Look at them trembling with their egotistic selfishness,
Like fish in a stream fast drying-up,
Seeing it so, fare unselfish in this life,
And cease worrying on different states of being.</t>
  </si>
  <si>
    <t>“Amongst one’s belongings, with pain doth one throb,
Like fish in scanty water from which stream is cut 05;"
With an insight [into this truth], one’s belongings
doth one cut ofi;
How will he then aspire after the three realms“ ?</t>
  </si>
  <si>
    <t>ubhosu antesu vineyya chandaṁ
phassaṁ pariññāya anānugiddho
yadattagarahī tadakubbamāno
na lippatī diṭṭhasutesu dhīro</t>
  </si>
  <si>
    <t>Dispelling desire for both extremes,
fully understanding contact, without becoming greedy,
not doing that for which he would blame himself,
a wise man does not get stuck in the seen and the heard.</t>
  </si>
  <si>
    <t>Rid of desire for both ends,
having completely understand contact, free of greed,
doing nothing for which they’d blame themselves,
the wise don’t cling to the seen and the heard.</t>
  </si>
  <si>
    <t>Subdue desire
for both sides,
comprehending sensory contact,
with no greed.
Doing nothing for which
he would rebuke himself,
the enlightened person doesn’t adhere
to what’s seen,
to what’s heard.</t>
  </si>
  <si>
    <t>Having removed desire for both ends,
having fully understood contact, without greed,
not doing anything for which one might blame oneself,
the wise person is not tainted by things seen or heard.</t>
  </si>
  <si>
    <t>No longer longing towards either extreme
Having understood touch, together with letting go,
One should do what others will praise and not blame,
A wise one is not stained by what is seen and heard</t>
  </si>
  <si>
    <t>Having removed“ the longing for both the extremes,
With no attachment,full comprehension doth he possess;
Never doth he practise what he himself doth condemn.
In what he sees and hears, he never gets soiled.</t>
  </si>
  <si>
    <t>Bapat: The ‘extremes‘ referred to in this line are phaua and pheasa-aamudeia etc. as explained in SnCm. 517, and Mahiniddesa i.62, but we thi they may as well be the two extremes of eternity and of annihilation</t>
  </si>
  <si>
    <t>saññaṁ pariññā vitareyya oghaṁ
pariggahesu muni nopalitto
abbūḷhasallo caramappamatto
nāsiṁsatī lokamimaṁ parañcāti</t>
  </si>
  <si>
    <t>Fully understanding perception he would cross the flood,
the Muni who is not stuck in possessions.
With the barb pulled out, practising diligently
he does not long for this world or the other.</t>
  </si>
  <si>
    <t>Having understood perception and crossed the flood,
the sage, not clinging to possessions,
with dart plucked out, living diligently,
does not long for this world or the next</t>
  </si>
  <si>
    <t>Comprehending perception,
he’d cross over the flood—
the sage not stuck
on possessions.
Then, with arrow removed,
living heedfully, he longs for neither this world, the next.</t>
  </si>
  <si>
    <t>Having fully understood perception,
one can cross the flood.
The muni, untainted by possessions,
with the dart extracted, living heedfully,
does not desire this world or another.</t>
  </si>
  <si>
    <t>The sage has known perception and crossed the flood,
So with nothing tainted, nothing wrapped around,
They fare on in diligence with the arrow drawn,
Neither longing for this world nor for another</t>
  </si>
  <si>
    <t>Understanding perceptions, of crossing the flood
doth he think,
In personal belongings, the Honoured One doth
never get mixed up;
With vigour, he takes out [the dart] that lies within."
Thus doth he shape himself, until no doubt is left
in him</t>
  </si>
  <si>
    <t>DUṬṬHAṬṬHAKA</t>
  </si>
  <si>
    <t>Corrupted Octet</t>
  </si>
  <si>
    <t>vadanti ve duṭṭhamanāpi eke
athopi ve saccamanā vadanti
vādañca jātaṁ muni no upeti
tasmā munī natthi khilo kuhiñci</t>
  </si>
  <si>
    <t>Though some will speak with a corrupt mind
some others will speak with an honest mind.
But the debate thus arisen the Muni does not engage in,
therefore, for the Muni there is no barrenness anywhere.</t>
  </si>
  <si>
    <t>Some speak with malicious intent,
while other speak set on truth.
When disputes come up a sage does not get involved,
which is why they’ve no barrenness at all.</t>
  </si>
  <si>
    <t>There are some who dispute
corrupted at heart,
and those who dispute
their hearts set on truth,
but a sage doesn’t enter
a dispute that’s arisen,
which is why he has no rigidity
anywhere at all.</t>
  </si>
  <si>
    <t>Some speak with hostile minds,
while some speak with minds bent on truth.
The muni does not become involved in an arisen dispute;
therefore the muni has no barrenness anywhere.</t>
  </si>
  <si>
    <t>Some speak with wicked intent,
while others are convinced their words are due,
but whatever talk there is the sage enters no debate,
therefore nowhere barren is the silent sage.</t>
  </si>
  <si>
    <t>Short (i.e. cutting) are the words which the evilminded say,
Good are those said by [men] that have grasped the Truth;
When a wordy fight has its course, the Honoured One
Uses no words, good or bad, and so never doth
he suffer</t>
  </si>
  <si>
    <t>See also: MN 18; MN 22; MN 58; MN 72; AN 2:36</t>
  </si>
  <si>
    <t xml:space="preserve">disputes </t>
  </si>
  <si>
    <t>sakañhi diṭṭhiṁ kathamaccayeyya
chandānunīto ruciyā niviṭṭho
sayaṁ samattāni pakubbamāno
yathā hi jāneyya tathā vadeyya</t>
  </si>
  <si>
    <t>How could one go beyond one’s own view
if one is led by desire and preoccupied with one’s likes?
Making one’s own assumptions
as one knows so would one speak.</t>
  </si>
  <si>
    <t>How can you transcend your own view
when you’re led by preference, dogmatic in belief?
Inventing your own undertakings,
you’d speak according to your notion.</t>
  </si>
  <si>
    <t>Now, how would one
led on by desire,
entrenched in his likes,
forming his own conclusions,
overcome his own views?
He’d dispute in line
with the way that he knows.</t>
  </si>
  <si>
    <t>How could one transcend one’s own view
if, drawn by desire, one is entrenched in a preference?
Taking one’s own [view] to be perfect,
one would speak as one understands.</t>
  </si>
  <si>
    <t>But a person led by his own desires,
and then continuing accordingly finds it hard,
to let them go, accepting his own thoughts as true,
becomes one who speaks as a believer.</t>
  </si>
  <si>
    <t>In his behaviour, how can he—[the heretic]—give up
it The worldly [attachments], dominated as he is by
‘ desires?
Undisturbed, he doth embrace his virtues supreme— l
Those that are a taboo to him whose desires are
curbed</t>
  </si>
  <si>
    <t>The occasion is the same—the murder of
Sundari, but the story in the Chinese
version is told with rich variations pointing
to a later origin.</t>
  </si>
  <si>
    <t xml:space="preserve">views </t>
  </si>
  <si>
    <t>yo attano sīlavatāni jantu
anānupuṭṭhova paresa pāvā
anariyadhammaṁ kusalā tamāhu
yo ātumānaṁ sayameva pāvā</t>
  </si>
  <si>
    <t>The person who tells his own virtue and practice
to others even if unasked for,
skillful ones will call “one of ignoble nature”—
the one who by himself declares himself.</t>
  </si>
  <si>
    <t xml:space="preserve">
Some, unasked, tell others
of their own precepts and vows.
They have an ignoble nature, say the experts,
since they speak about themselves of their own accord.</t>
  </si>
  <si>
    <t>Whoever boasts to others, unasked,
of his practices, habits,
is, say the skilled,
ignoble by nature—
he who speaks of himself
of his own accord.</t>
  </si>
  <si>
    <t>When a person, without being asked, proclaims
to others his own good behavior and observances,
the skilled say he is one of ignoble nature,
since on his own accord he proclaims himself.</t>
  </si>
  <si>
    <t>So if a person without being asked,
having practiced and praised virtues,
even those of himself, invented by himself,
the good say this is an ignoble act indeed.</t>
  </si>
  <si>
    <t>If a man observing his rules and practices of conduct,
Declares them first, without being asked about them,
The righteous question the same and call it unlawful—-
So are they who to the mendicants go and self-purity
declare</t>
  </si>
  <si>
    <t xml:space="preserve">selfish </t>
  </si>
  <si>
    <t>santo ca bhikkhu abhinibbutatto
itihanti sīlesu akatthamāno
tamariyadhammaṁ kusalā vadanti
yassussadā natthi kuhiñci loke</t>
  </si>
  <si>
    <t>But the calm monk, cool in his heart,
not boasting “Thus am I” regarding virtues,
skillful ones will call “one of noble nature”—
the one for whom there are no prominences.</t>
  </si>
  <si>
    <t>A mendicant, peaceful, quenched,
never boasts “thus am I” of their precepts.
They have a noble nature, say the experts,
not proud of anything in the world.</t>
  </si>
  <si>
    <t>But a monk at peace,
fully unbound in himself,
not boasting of his habits
—”That’s how I am”—
he, say the skilled,
is noble by nature—
he with no vanity
anywhere in the world.</t>
  </si>
  <si>
    <t>But when a peaceful bhikkhu, one inwardly quenched,
does not boast of his good behavior by saying, “I am thus,”
the skilled say he is one of noble nature
who has no swellings anywhere in the world.</t>
  </si>
  <si>
    <t>But that bhikkhu who’s serene at heart
and praises neither his own practices or virtue,
not labelling himself “I” in “this”, the good praise him:
“No arrogance has he for anything in the world”.</t>
  </si>
  <si>
    <t>Due to quiescence, worldly things he never
doth hug,
Nor does he boast of his strict observance of conduct;
The wise believe this to be the lawful course,
When they instruct the people with attachment .
none.</t>
  </si>
  <si>
    <t xml:space="preserve">unselfish </t>
  </si>
  <si>
    <t>pakappitā saṅkhatā yassa dhammā
purakkhatā santi avīvadātā
yadattani passati ānisaṁsaṁ
taṁ nissito kuppapaṭiccasantiṁ</t>
  </si>
  <si>
    <t>He whose ideas are formed, constructed,
and preferred, not having become purified,
whatever he sees as an advantage in himself
he relies on that—a peace dependent on the shakeable.</t>
  </si>
  <si>
    <t>For one who formulates and creates teachings,
and promotes them despite their defects,
if they see an advantage for themselves,
they become dependent on that, relying on unstable peace.</t>
  </si>
  <si>
    <t>One whose doctrines aren’t clean—
fabricated, formed, given preference
when he sees it to his own advantage
relies on a peace
dependent
on the provoked.</t>
  </si>
  <si>
    <t>One who has formulated impure teachings,
put them together and advanced them,
becomes attached to the benefit he sees for himself,
to that peace dependent on the unstable.</t>
  </si>
  <si>
    <t>Who’s thoughts, imagined and put together, then prefer
even though their source is not purified,
seeing advantage for himself, he relies upon this,
depending on what is imagined,
constructed and conventional.</t>
  </si>
  <si>
    <t>The Law" he utters is neither hidden nor decayed;
The Honoured One is censured, and yet thinks:
‘I have neither joy nor fear‘.
On his practices, he locks and finds them never
amiss or leaky,
With attachment he never thinks of them. _Hcw“
can there then be anger or joy?</t>
  </si>
  <si>
    <t>different 784, 785 and 787</t>
  </si>
  <si>
    <t>diṭṭhīnivesā na hi svātivattā
dhammesu niccheyya samuggahītaṁ
tasmā naro tesu nivesanesu
nirassatī ādiyatī ca dhammaṁ</t>
  </si>
  <si>
    <t>View-resorts are not easily overcome
assumed after evaluation of ideas.
Therefore a man among those resorts
will reject an idea as he takes hold of another</t>
  </si>
  <si>
    <t>It’s not easy to get over dogmatic views
adopted after judging among the teachings.
That’s why, among all these dogmas, a person
rejects one teaching and takes up another.</t>
  </si>
  <si>
    <t>Because entrenchments in views
aren’t easily overcome
when considering what’s grasped
among doctrines,
that’s why
a person embraces or rejects a doctrine—
in light of these very
entrenchments.</t>
  </si>
  <si>
    <t>Attachments to views are not easily overcome;
having decided among teachings, one tightly grasps [a view].
Therefore, among those bases of attachment,
a person rejects and takes up a teaching.</t>
  </si>
  <si>
    <t>When one has grasped
from among many Dharma-doctrines,
after due considerations one clings to a View,
or condemns those of others,
hence it’s not easy to transcend those Dharmas.</t>
  </si>
  <si>
    <t>Whatever he had, he has turned away and abandoned.
Of the bright Law, he has taken with wise discrimination .
Seeking the right vantage, the void doth he gain,
As he knows all things to be characterised as, and
rooted in.“ void</t>
  </si>
  <si>
    <t>dhonassa hi natthi kuhiñci loke
pakappitā diṭṭhi bhavābhavesu
māyañca mānañca pahāya dhono
sa kena gaccheyya anūpayo so</t>
  </si>
  <si>
    <t>For the cleansed one there is nowhere in the world
a formed view about various existences.
Having abandoned deceit and conceit, being cleansed,
by what would he go? He is not an approacher.</t>
  </si>
  <si>
    <t>The cleansed one has no formulated view
at all in the world about the different realms.
Having given up illusion and conceit,
by what path would they go? They are not involved.</t>
  </si>
  <si>
    <t xml:space="preserve">one who is cleansed
has no theorized view
about states of becoming or not-
anywhere in the world.
Having abandoned conceit &amp; illusion,
by what means would he go?
He isn't involved </t>
  </si>
  <si>
    <t>One who is cleansed formulates no view
anywhere in the world about various states of existence.
Having abandoned hypocrisy and conceit, through what
would the cleansed one go [astray]when he is uninvolved?</t>
  </si>
  <si>
    <t>There is not in the world such a purified person
who continues in these views about existential states,
for this person of purity, let go of illusion and conceit,
how can he be in any way reckoned?</t>
  </si>
  <si>
    <t>To nothing is he attached. as nothing doth he possess;
Never doth he crave for life in the three realms,
Egoism and darkness‘ 5 all he has cut ofi.
Say, how can he go and in what place can he
himself lodge?</t>
  </si>
  <si>
    <t xml:space="preserve">escape </t>
  </si>
  <si>
    <t>upayo hi dhammesu upeti vādaṁ
anūpayaṁ kena kathaṁ vadeyya
attā nirattā na hi tassa atthi
adhosi so diṭṭhimidheva sabbanti</t>
  </si>
  <si>
    <t>The one who approaches engages in debate regarding ideas—
the non approacher by what, how, could you tell him?4
Taking up or rejecting—such things are not for him.
He has shaken off all views here itself.</t>
  </si>
  <si>
    <t>For one who is involved gets embroiled in disputes about teachings—
but how to dispute with the uninvolved? About what?
For picking up and putting down is not what they do;
they have shaken off all views in this very life.</t>
  </si>
  <si>
    <t>For one who’s involved
enters into disputes
over doctrines.
But how—in connection with what
would you argue
with one uninvolved?
He has nothing
embraced or rejected,
has sloughed off every view
right here—every one.</t>
  </si>
  <si>
    <t>One involved is embroiled in disputes about teachings;
but how, about what, could one dispute with one uninvolved?
Nothing is taken up or rejected by him;
he has shaken off all views right here.</t>
  </si>
  <si>
    <t>Who is not attached still enters into doctrinal debates,
but one unattached, how could he take sides?
For him nothing is taken up or put down,
With all views shaken off, relying on none.</t>
  </si>
  <si>
    <t>Whatever he should have had, he has broken and
gone forth,
Whatever his religion says, he neither loves nor
clings to.
Detachment he has attained and deliverance he has
secured,
By up-rooting, all things he has abandoned and
gone far ahead</t>
  </si>
  <si>
    <t>SUDDHAṬṬHAKA</t>
  </si>
  <si>
    <t>Pure octet</t>
  </si>
  <si>
    <t>passāmi suddhaṁ paramaṁ arogaṁ
diṭṭhena saṁsuddhi narassa hoti
evābhijānaṁ paramanti ñatvā
suddhānupassīti pacceti ñāṇaṁ</t>
  </si>
  <si>
    <t>“I see the pure, the highest, the disease free.
From the seen a man’s purity comes.”
Understanding this, having known it as the highest,
he refers to knowledge through seeing the pure</t>
  </si>
  <si>
    <t>“I see a pure being of ultimate wellness;
it is vision that grants a person purity.”
Recalling this notion of the ultimate,
they believe in the notion that there is one who observes purity.</t>
  </si>
  <si>
    <t>“I see the pure, the supreme,
free from disease.
It’s in connection with what’s seen that a person’s purity is.”
Understanding thus,
having known the “supreme,”
&amp;remaining focused
on purity,
one falls back on that knowledge.</t>
  </si>
  <si>
    <t>“I see the pure, the supreme health;
a person achieves full purity through what is seen.”
Directly knowing thus,195 having known “[It is] supreme,”
“I contemplate the pure,” one falls back on knowledge.</t>
  </si>
  <si>
    <t>“A pure one I see”, free completely from disease,
so by “seeing” such (it is said) one attains to purity.
Convinced about this and holding it highest
that one relies on this knowledge
while contemplating purity.</t>
  </si>
  <si>
    <t>The pure and what is freed from disease’-I notice;
I, the faithful, who see the Truth, and purity of self.
He who knows this has full purity attained,
Having cut o fiall sufiering which his self did
. ,experience within.</t>
  </si>
  <si>
    <t>See also: MN 61; AN 5:170</t>
  </si>
  <si>
    <t>diṭṭhena ce suddhi narassa hoti
ñāṇena vā so pajahāti dukkhaṁ
aññena so sujjhati sopadhīko
diṭṭhī hi naṁ pāva tathā vadānaṁ</t>
  </si>
  <si>
    <t>If from the seen a man’s purity comes
or through knowledge he abandons suffering,
then he is purified by something other, being with appendages.
His view betrays him as he speaks like that</t>
  </si>
  <si>
    <t>If a person were granted purity through vision,
or if by a notion they could give up suffering,
then one with attachments is purified by another:
their view betrays them as one who asserts thus.</t>
  </si>
  <si>
    <t>If it’s in connection
with what is seen
that a person’s purity is,
or if stress is abandoned
in connection with knowledge,
then a person with acquisitions
is purified
in connection with something else,
for his view betrays that
in the way he asserts it.</t>
  </si>
  <si>
    <t>If a person gains purity by the seen,
or if one abandons suffering by knowledge,
then one with acquisitions is purified by another;
the view proclaims him as one who asserts thus.</t>
  </si>
  <si>
    <t>But if a person by seeings’ purified
or if through such knowledge could leave dukkha aside
then one with assets still by another could be purified:
this view betrays one who speaks in this way.</t>
  </si>
  <si>
    <t>‘By holding a good view, it is possible to make -
one pure,
By possessing wisdom, it is possible to be free
from pain’—
[Such] evil views the skilful give up and follow
the path that's pure,
Cutting o fiall such heresies, one doth realise the
purity that is highest</t>
  </si>
  <si>
    <t>The story in Chinese is quite different from
that of Candibha in Pali.</t>
  </si>
  <si>
    <t>na brāhmaṇo aññato suddhimāha
diṭṭhe sute sīlavate mute vā
puññe ca pāpe ca anūpalitto
attañjaho nayidha pakubbamāno</t>
  </si>
  <si>
    <t>The Brāhmaṇa does not speak of purity through something other,
the seen, the heard, the thought, or virtue and practice.
In both good and evil he remains unstuck,
letting go of what was taken up he does not make up anything</t>
  </si>
  <si>
    <t>The brahmin speaks not of purity from another
in terms of what is seen, heard, or thought; or by precepts or vows.
They are unsullied in the midst of good and evil,
letting go what was picked up, without creating anything new here.</t>
  </si>
  <si>
    <t>No holy man says purity
comes in connection
with anything else.
Unsmeared with regard
to what’s seen, heard, sensed,
habits or practices,
merit or evil,
not creating
anything here,
he’s let go
of what he’d embraced.</t>
  </si>
  <si>
    <t>A brahmin does not speak of purity by another,
by the seen and the heard,
by good behavior and observances, by the sensed.
Untainted by merit and by evil, he has discarded
what was taken up without creating anything here.</t>
  </si>
  <si>
    <t>The Brahmin says not that “by another, one is purified”—
not by sights or by sounds, rites and vows and what’s sensed.
Such person’s not stuck upon merit or evil,
with selfishness renounced, constructing nothing here</t>
  </si>
  <si>
    <t>No deliverance doth he gain from heresies diverse,
From what is seen, or heard, from rites or rituals
and beliefs;
Never gets he tainted by merit or demerit;
Everything he has relinquished, [even] love of
fame</t>
  </si>
  <si>
    <t>Stanza 790 of Sn. is so different from that in Chinese. We fail
to see anything corresponding to_the famous Pali simile: kapi’oa sdkham.
pamukham. gahdya</t>
  </si>
  <si>
    <t>purimaṁ pahāya aparaṁ sitāse
ejānugā te na taranti saṅgaṁ
te uggahāyanti nirassajanti
kapīva sākhaṁ pamuñcaṁ gahāyaṁ</t>
  </si>
  <si>
    <t>Leaving the former, attached to the next,
they are always on the move and do not cross attachment.
They keep taking up and rejecting
like a monkey leaving the old branch as it takes hold of a new one</t>
  </si>
  <si>
    <t>Having let go the last they lay hold of the next;
following impulse, they don’t get past the snare.
They grab on and let go like a monkey
grabbing and releasing a branch.</t>
  </si>
  <si>
    <t>Abandoning what’s first,
they depend on what’s next.
Following perturbation,
they don’t cross over the bond.
They embrace &amp;reject
—like a monkey releasing a branch
to seize at another</t>
  </si>
  <si>
    <t>Having abandoned the former, attached to another,
carried along by impulse, they do not cross the tie.
They grab hold and let go, like a monkey
grasping and letting go of a branch.</t>
  </si>
  <si>
    <t>Former (things⁴) let go, then to other (things) attached,
following craving, their bondage, they do not overcross,
so they (continue) with grasping and discarding,
as monkey letting go a branch to seize upon another</t>
  </si>
  <si>
    <t>All aspirations he gives up, and no more doth he regret;
Thus he acts and the four Floods’ doth he cross.
As soon as he ceases to contemplate on suffering,
He enters into bondage of thoughts, that rule his mind</t>
  </si>
  <si>
    <t>sayaṁ samādāya vatāni jantu
uccāvacaṁ gacchati saññasatto
vidvā ca vedehi samecca dhammaṁ
na uccāvacaṁ gacchati bhūripañño</t>
  </si>
  <si>
    <t>A person by himself undertaking various practices
goes high and low, attached to perceptions.
But the knowing one who through knowledge has understood the Dhamma
does not go high and low, being of broad wisdom.</t>
  </si>
  <si>
    <t>Having undertaken their own vows, a person
visits various teachers, being attached to perception.
One who knows, having comprehended the truth through the knowledges,
does not visit various teachers, being of vast wisdom.</t>
  </si>
  <si>
    <t xml:space="preserve">a person undertaking practices on his own,
goes high &amp;low,
latched onto perception.
But having clearly known
through vedas,8 having encountered
the Dhamma,
one deeply discerning
doesn’t go high &amp;low.
</t>
  </si>
  <si>
    <t>Having undertaken observances by himself,
a person goes up and down, attached to perception.
But having realized the Dhamma with knowledge,
the wise one, broad in wisdom, does not go up and down.</t>
  </si>
  <si>
    <t>A person undertaking (holy) vows goes high and low—
they waver, fettered by conditional perceptions.
But one who has learnt well and the Dharma penetrated
goes not up and down—
that one of wisdom profound</t>
  </si>
  <si>
    <t>He who constantly thinks of his rites and rituals,
High horse doth he ride, or sinks into sufiering that he
‘ meets.
By thinking ( 3 ) these thoughts, his rituals doth he
' practise a little,
But the discriminating wise have no such words of
pretence</t>
  </si>
  <si>
    <t>sa sabbadhammesu visenibhūto
yaṁ kiñci diṭṭhaṁ va sutaṁ mutaṁ vā
tameva dassiṁ vivaṭaṁ carantaṁ
kenīdha lokasmi vikappayeyya</t>
  </si>
  <si>
    <t>Unopposed to all things he has become
whether those seen and heard or those thought about.
The one seeing just that, faring openly,
by what in the world could you make him out?</t>
  </si>
  <si>
    <t>They are remote from all things
seen, heard, or thought.
Seeing them living openly,
how could anyone in this world judge them?</t>
  </si>
  <si>
    <t>He’s enemy-free
with regard to all things
seen, heard, or sensed.
By whom, with what,
should he be pigeonholed
here in the world?
—one who has seen in this way,
who goes around open.</t>
  </si>
  <si>
    <t>One who is remote from all phenomena,
from whatever is seen, heard, or sensed —
how could anyone here in the world categorize him,
that seer behaving openly?</t>
  </si>
  <si>
    <t>Within all the dharmas whether seen or they’re heard,
or otherwise sensed, this one fights not at all,
that one who sees them nakedly while faring to the end,
by whom in the world could he be described?</t>
  </si>
  <si>
    <t>Doubts he has none for anything; for
What he has seen or heard, or thought over;
The Truth he has seen or heard, and with energy s-tarts
its practice,-
Who can make for him the world, that is no more than
six‘ decaying things?</t>
  </si>
  <si>
    <t>na kappayanti na purekkharonti
accantasuddhīti na te vadanti
ādānaganthaṁ gathitaṁ visajja
āsaṁ na kubbanti kuhiñci loke</t>
  </si>
  <si>
    <t>They do not make up, they do not prefer,
“This is the highest purity” they do not say.
Having undone the tied knot of holding,
they do not form a desire for anything in the world</t>
  </si>
  <si>
    <t>They don’t make things up or promote them,
or speak of the uttermost purity. 
After untying the tight knot of grasping,
they long for nothing in the world.</t>
  </si>
  <si>
    <t>They don’t theorize, don’t yearn,
don’t proclaim “utter purity.”
Untying the tied-up knot of grasping,
they don’t form a desire
anywhere in the world.</t>
  </si>
  <si>
    <t xml:space="preserve">They do not construct, they have no preferences,
they do not assert: “[This is] ultimate purity.” 
Having loosened the knot of grasping that had been tied,
they do not form desires for anything in the world. </t>
  </si>
  <si>
    <t>They neither form views, show nothing’s preferred,
nor do they claim a purity supreme,
havingloosened craving’s knot with which they were bound,
no longer they have longing for what’s in the world</t>
  </si>
  <si>
    <t>Himself hoe no speculation, nor doth he pay homhge to
5113' 3
With no hankering, he doth practise what is none but
‘ the purest;
With likes and dislikes out ofi, no attachment has he;
Hankering site: the world he has out ofi, and so no
attachments has he,</t>
  </si>
  <si>
    <t>sīmātigo brāhmaṇo tassa natthi
ñatvā va disvā va samuggahītaṁ
na rāgarāgī na virāgaratto
tassīdha natthī paramuggahītanti</t>
  </si>
  <si>
    <t>The Brāhmaṇa has gone beyond limits, for him there is not
anything that could be grasped through knowing and seeing.
He does not attach to attachment, and is not attached to detachment.
For him there is nothing grasped as the highest.</t>
  </si>
  <si>
    <t>The brahmin has stepped over the boundary;
knowing and seeing, they adopt nothing.
Neither in love with passion nor besotted by dispassion,
there is nothing here they adopt as the ultimate.</t>
  </si>
  <si>
    <t>The brahman
gone beyond territories,
has nothing that
—on knowing or seeing—
he’s grasped.
Unimpassionate for passion,
not impassioned for dis-,
he has nothing here
that he’s grasped as supreme.</t>
  </si>
  <si>
    <t>For a brahmin who has transcended the boundary,
who has known and seen, nothing is tightly grasped.
Not excited by lust or attached to dispassion,
he does not grasp anything here as supreme.</t>
  </si>
  <si>
    <t>Having Known, having Seen, there’s nothing to be grasped
by a Brahmin gone beyond all limitations,
neither lustful with lusts nor to lustlessness attached—
in this there is nothing that’s grasped as the highest</t>
  </si>
  <si>
    <t>Nothing does he possess‘and thus a Brahman is he made,
The Law he has seen and heard and thus properly
accepted;
No passion of senses has he, and likewise,
N0 attachment for the passions that corrupt;
And thus for him there is nothing that is purest,
To which he may [ever] get himself attached</t>
  </si>
  <si>
    <t>PARAMAṬṬHAKA</t>
  </si>
  <si>
    <t>Ultimate octet</t>
  </si>
  <si>
    <t>paramanti diṭṭhīsu paribbasāno
yaduttari kurute jantu loke
hīnāti aññe tato sabbamāha
tasmā vivādāni avītivatto</t>
  </si>
  <si>
    <t>“It is the highest”—if a person thus abides in views,
then whatever it is he takes as the best
in comparison with that he will call all others inferior.
Therefore he has not passed beyond disputes</t>
  </si>
  <si>
    <t>If, maintaining that theirs is the “ultimate” view,
a person makes it out to be highest in the world;
then they declare all others are “lesser”;
that’s why they’re not over disputes.</t>
  </si>
  <si>
    <t>When dwelling on views
as “supreme,”
a person makes them
the utmost thing in the world,
&amp;, from that, calls
all others inferior
and so he’s not gone beyond disputes.</t>
  </si>
  <si>
    <t>Settling [on his own] as supreme among views,
whatever a person esteems as best in the world,
[in comparison] he says all others are “inferior”:
therefore he has not transcended disputes.</t>
  </si>
  <si>
    <t>Whoever should take to himself certain views,
thinking them best, supreme in the world,
and hence he proclaims all others as low—
by this he does not become free from disputes.</t>
  </si>
  <si>
    <t>Himself in darkness, matchless doth he himself declare,
Drifting in ignorance, when will it be dawn with him?
Himself without religion ( Q ), and still protesting
that he has learnt all,
Distracted and with no good practices, understanding
when will he have?</t>
  </si>
  <si>
    <t>See also: AN 4:199; AN 6:49</t>
  </si>
  <si>
    <t>yadattanī passati ānisaṁsaṁ
diṭṭhe sute sīlavate mute vā
tadeva so tattha samuggahāya
nihīnato passati sabbamaññaṁ</t>
  </si>
  <si>
    <t>Whatever he sees as an advantage in himself
in regard to the seen, the heard, the thought, or virtue and practice,
taking hold of just that in that regard
he sees all others as inferiors</t>
  </si>
  <si>
    <t>If they see an advantage for themselves
in what’s seen, heard, or thought; or in precepts or vows,
in that case, having adopted that one alone,
they see all others as inferior.</t>
  </si>
  <si>
    <t>When he sees his own advantage
in what’s seen, heard, sensed,
or in habits &amp;practices,
seizing it there
he sees all else, all others,
as inferior.</t>
  </si>
  <si>
    <t>Whatever benefit one sees for oneself
in the seen, the heard, the sensed,
or in good behavior and observances,
having grasped hold of that alone,
one regards all else as inferior.</t>
  </si>
  <si>
    <t>In whatever is seen by him, heard, and cognized,
vows and rites done—he sees profit in these;
and so from his grasping at that very view
all others he sees as worthless, as low.</t>
  </si>
  <si>
    <t>Commendable’, doth he declare all the practices he
follows,
And ‘matchless', what he has seen, heard or practised.
Sunk in and bound withthe five‘ worldly abodee,
‘Admirable and surpassing all’, he holds his practices
l to be</t>
  </si>
  <si>
    <t>Pali Cm. has the story of the Blind men
being taken over to the elephant toform
their own conception of that animal. The
Chinese story includes it as the story of the
past.</t>
  </si>
  <si>
    <t>taṁ vāpi ganthaṁ kusalā vadanti
yaṁ nissito passati hīnamaññaṁ
tasmā hi diṭṭhaṁ va sutaṁ mutaṁ vā
sīlabbataṁ bhikkhu na nissayeyya</t>
  </si>
  <si>
    <t>But just that is a knot, skillful ones say,
dependent upon which he sees another as inferior.
Therefore upon the seen, the heard, or the thought
or upon virtue and practice a monk should not rely</t>
  </si>
  <si>
    <t>Experts say that, too, is a knot,
relying on which people see others as lesser.
That’s why a mendicant ought not rely
on what’s seen, heard, or thought, or on precepts and vows.</t>
  </si>
  <si>
    <t>That, too, say the skilled,
is a binding knot: that
in dependence on which
you regard another
as inferior.
So a monk shouldn’t be dependent
on what’s seen, heard, or sensed,
or on habits &amp;practices;</t>
  </si>
  <si>
    <t>The skilled speak of that as a knot
when one is attached and regards others as inferior.
Therefore a bhikkhu should not be attached to the seen,
to the heard or sensed, or to good behavior and observances.</t>
  </si>
  <si>
    <t>Intelligent people declare it a bond,
if relying on one he sees others as low;
therefore should a bhikkhu rely not on rites,
on vows, on the seen, the heard, and cognized.</t>
  </si>
  <si>
    <t>In ignorance planted firm, pleasures with passion he
gains,
With studies misdirected, himself beguiles that adept-ness he has reached;
With what he has seen, or heard, or truth contemplated,
Even if he observed good conduct, it doth him no good</t>
  </si>
  <si>
    <t>different Chinese and pali 796, 798</t>
  </si>
  <si>
    <t>diṭṭhimpi lokasmiṁ na kappayeyya
ñāṇena vā sīlavatena vāpi
samoti attānamanūpaneyya
hīno na maññetha visesi vāpi</t>
  </si>
  <si>
    <t>No view at all should he form in the world
whether through knowledge or through virtue and practice.
He should not refer to himself as equal,
nor think of himself as inferior or superior</t>
  </si>
  <si>
    <t>Nor would they form a view about the world
through a notion or through precepts and vows.
They would never represent themselves as “equal”,
nor conceive themselves “worse” or “better”.</t>
  </si>
  <si>
    <t>nor should he theorize a view in the world
in connection with knowledge
or habits &amp;practices;
shouldn’t take himself
to be “equal”;
shouldn’t think himself
inferior or superlative.</t>
  </si>
  <si>
    <t>Nor should one construct any view in the world
by means of knowledge or good behavior and observances.
One should not take oneself as “equal”
or think of oneself as “inferior” or “superior.”</t>
  </si>
  <si>
    <t>And so in this world let him fashion no views
relying on knowledge⁵, rites and vows done,
nor let him conceive that he’s on a par,
nor think himself low, nor higher than them.</t>
  </si>
  <si>
    <t xml:space="preserve">The heresies and practices of the world, he never doth
entertain.
Though wise thoughts he has, and good practices, too,
That he may raise himself to equality with others,
Or surpass them and thus respect gain-Such thoughts do never occur to him. </t>
  </si>
  <si>
    <t>attaṁ pahāya anupādiyāno
ñāṇepi so nissayaṁ no karoti
sa ve viyattesu na vaggasārī
diṭṭhimpi so na pacceti kiñci</t>
  </si>
  <si>
    <t>Giving up the taken-up, not taking anything up,
even on knowledge he makes no reliance.
He does not take sides among the disunited,
for he does not relate to any view.</t>
  </si>
  <si>
    <t>What was picked up has been set down and is not grasped again;
they form no dependency even on notions.
They follow no side among the factions,
and believe in no view at all.</t>
  </si>
  <si>
    <t>Abandoning what he’d embraced,
not clinging,
he doesn’t make himself dependent
even in connection with knowledge;
doesn’t follow a faction
among those who are split;
doesn’t fall back
on any view whatsoever.</t>
  </si>
  <si>
    <t>Having abandoned what is taken up, not clinging,
one does not create a dependency even on knowledge.
Not taking sides among those who are divided,
one does not fall back on any view at all.</t>
  </si>
  <si>
    <t>Abandoning own views, not grasping (at more)
and even in knowledge not seeking support,
’mong those who dispute he never takes sides,
to the various views he does not recourse.</t>
  </si>
  <si>
    <t>This [world], he has already cut ofi, and what succeeds
is also exhausted,
By relinquishing his perceptions ( E ), the practices
only doth he attain;
With the knowledge he possesses, the wise he doth not
approach;
Though he has seen, or heard, mere contemplation he
doth practise.</t>
  </si>
  <si>
    <t>yassūbhayante paṇidhīdha natthi
bhavābhavāya idha vā huraṁ vā
nivesanā tassa na santi keci
dhammesu niccheyya samuggahītaṁ</t>
  </si>
  <si>
    <t>He who towards both ends has no inclination,
which would lead to any sort of existence here or yonder,
for him there are no resorts
assumed after evaluations of ideas</t>
  </si>
  <si>
    <t>One here who has no wish for either end—
for any form of existence in this life or the next—
has adopted no dogma at all
after judging among the teachings.</t>
  </si>
  <si>
    <t>One who isn’t inclined
toward either side
—becoming or not-,
here or beyond—
who has no entrenchment
when considering what’s grasped among doctrines,</t>
  </si>
  <si>
    <t>For one who has no wish here for either end,
for various states of existence here or beyond,
there are no places of residence at all
grasped after deciding among teachings.</t>
  </si>
  <si>
    <t>Having no bias for either extreme—
for being, or not, here, the next world,
for a bhikkhu like this there’s no settling down,
’mong dharmas seized and decided (by them)</t>
  </si>
  <si>
    <t>For both‘ the ends, the hankering he has given up,
[Running] from life to life, he has abandoned, relin-quished and kept off;
In both‘ the places, he is not to be found.
On all the dhan-mas, he reflects and the rightful he
attains and dwells in</t>
  </si>
  <si>
    <t>tassīdha diṭṭhe va sute mute vā
pakappitā natthi aṇūpi saññā
taṁ brāhmaṇaṁ diṭṭhimanādiyānaṁ
kenīdha lokasmiṁ vikappayeyya</t>
  </si>
  <si>
    <t>For him regarding the seen, the heard or the thought
not the slightest notion has been made up.
That Brāhmaṇa who does not take up a view
by what in the world could you make him out?</t>
  </si>
  <si>
    <t>For them not even the tiniest idea is formulated here
regarding what is seen, heard, or thought.
That brahmin does not grasp any view—
how could anyone in this world judge them?</t>
  </si>
  <si>
    <t>He hasn’t the least
theorized perception
with regard to what’s seen, heard, or sensed.
By whom, with what,
should he be pigeonholed
here in the world?
this brahman
who hasn’t adopted views.</t>
  </si>
  <si>
    <t>Not even a subtle notion is formulated by him
about whatis seen, heard, or sensed here.
How could anyone here in the world categorize him,
that brahmin who does not cling to any view?</t>
  </si>
  <si>
    <t>Concerning the seen, the heard and cognized,
not the least notion is fashioned by him,
that one who’s perfected grasps at no view,
by whom in the world could he be described?</t>
  </si>
  <si>
    <t>To his practices, thoughtfully accepted, or to what he has seen,
Or heard, or wrongly conceived, he gives not the
slightest thought‘;
The wise man contemplating on. Law has all the heresies
. . buried.
Because of this attainment of his, he gives up all world-ly things he holds ‘vain’,</t>
  </si>
  <si>
    <t>na kappayanti na purekkharonti
dhammāpi tesaṁ na paṭicchitāse
na brāhmaṇo sīlavatena neyyo
pāraṅgato na pacceti tādīti</t>
  </si>
  <si>
    <t>They do not make up, they do not prefer,
even ‘ideals’ are not accepted by them.
The Brāhmaṇa is not to be traced through virtue and practice,
gone to the far shore he does not relate, being such.</t>
  </si>
  <si>
    <t>They don’t make things up or promote them,
and don’t subscribe to any of the doctrines.
The brahmin has no need to be led by precept or vow;
gone to the far shore, one such does not return.</t>
  </si>
  <si>
    <t xml:space="preserve">
They don’t theorize, don’t yearn,
don’t adhere even to doctrines.
A brahman not led
by habits or practices,
gone to the beyond
—Such—
doesn’t fall back.</t>
  </si>
  <si>
    <t xml:space="preserve">They do not construct, they have no preferences;
even the teachings are not embraced by them. 
A brahmin cannot be led by good behavior and observances;
the impartial one, gone beyond, does not fall back. </t>
  </si>
  <si>
    <t>Neither they’re fashioned nor honoured at all—
those doctrines, they’re never accepted by him:
Perfected, not guided by rites or by vows,
One Thus, not returning, beyond has he gone</t>
  </si>
  <si>
    <t>Nothing doth he possess; how can the dhwrmas he have?
Of the dharmas he practised before, he seeks and
discusses the meaning;
By merely observing conduct, the Truth itself he is
seeking,
He has completely gone beyond, and to the crowded
world, he would not return</t>
  </si>
  <si>
    <t>JARA</t>
  </si>
  <si>
    <t>Old age</t>
  </si>
  <si>
    <t>appaṁ vata jīvitaṁ idaṁ
oraṁ vassasatāpi miyyati
yo cepi aticca jīvati
atha kho so jarasāpi miyyati</t>
  </si>
  <si>
    <t>Short indeed is this life,
within one hundred years one dies.
Even if anyone should live longer,
then he is bound to die of decay.</t>
  </si>
  <si>
    <t>Short, alas, is this life;
you die before a hundred years.
Even if you live a little longer,
you still die of old age.</t>
  </si>
  <si>
    <t>How short this life!
You die this side of a century,
but even if you live past,
you die of old age.</t>
  </si>
  <si>
    <t>Short, alas, is this life;
one even dies before a hundred years.
Even if one lives longer,
one still dies because of old age.</t>
  </si>
  <si>
    <t>Short indeed is this life—
within a hundred years one dies,
and, if any live longer
then they die of decay.</t>
  </si>
  <si>
    <t>Very short is the life of oneself;
When one is little less than a hundred years, one dies;
Although one may surpass the limit of a hundred years,
That life, due to old age, is no escape from death</t>
  </si>
  <si>
    <t>See also: SN 21:2; AN 4:184; Dhp 21; Sn 5:16</t>
  </si>
  <si>
    <t>socanti janā mamāyite
na hi santi niccā pariggahā
vinābhāvasantamevidaṁ
iti disvā nāgāramāvase</t>
  </si>
  <si>
    <t>People grieve for the things they call ‘mine’
for no possessions are permanent.
“It always ends in separation”—
seeing this one should not live in a house.</t>
  </si>
  <si>
    <t>People grieve over belongings,
yet there is no such thing as permanent possessions.
Separation is a fact of life; when you see this,
you wouldn’t stay living at home.</t>
  </si>
  <si>
    <t>People grieve
for what they see as mine,
for nothing possessed is constant,
nothing is constantly possessed.1
Seeing this separation
simply as it is,
one shouldn’t follow the household life.</t>
  </si>
  <si>
    <t>People sorrow over things taken as “mine,”
for there are no permanent possessions.
Having seen that there is separation,
one should not live the home life.</t>
  </si>
  <si>
    <t>People grieve for what is “mine”:
though possessions are not permanent
and subject to destruction—
see this and homeless dwell.</t>
  </si>
  <si>
    <t>Brooding over the lovable gives rise to sufiering;
Love for it is there, because one takes it to be constant.
The likes and the dislikes must all depart;
And when one sees thus, no interest in the house will
he find.</t>
  </si>
  <si>
    <t>The stories are quite difierent and have
nothing in common.</t>
  </si>
  <si>
    <t>maraṇenapi taṁ pahīyati
yaṁ puriso mamayidanti maññati
etampi viditvā paṇḍito
na mamattāya nametha māmako</t>
  </si>
  <si>
    <t>At death that all gets abandoned
what a man thinks of as “This is mine.”
Having known this too, being wise,
my follower would not incline to make things ‘mine’.</t>
  </si>
  <si>
    <t>Whatever a person thinks of as belonging to them,
that too is given up when they die.
Knowing this, an astute follower of mine
would not be bent on ownership.</t>
  </si>
  <si>
    <t>At death a person abandons
what he supposes as mine.
Realizing this, the wise
shouldn’t incline
to be devoted to mine-ness.</t>
  </si>
  <si>
    <t>Whatever a person conceives thus, “This is mine,”
that too is abandoned at death.
Having understood this, a wise one, my follower,
should not incline to take things as “mine.”</t>
  </si>
  <si>
    <t>In death it’s all abandoned,
yet still some think “it’s mine”;
knowing this, the wise to me devoted
should stoop not making it “owned”.</t>
  </si>
  <si>
    <t>Nothing exists that’s not overflown by the flood of
Death,
Because of preVi011s greed and craving, c0mes the
sense of my-ness.
Having an insight into Truth, the wise thus begin
to count;
‘This is not my-self nor my-self is this’.</t>
  </si>
  <si>
    <t>supinena yathāpi saṅgataṁ
paṭibuddho puriso na passati
evampi piyāyitaṁ janaṁ
petaṁ kālaṅkataṁ na passati</t>
  </si>
  <si>
    <t>Just as what has come together in a dream
no longer is seen when a man wakes up,
so too when a loved person
is dead and gone one does not see him.</t>
  </si>
  <si>
    <t>Just as, upon awakening, a person does not see
what they encountered in a dream;
so too you do not see your loved ones
when they are dead and gone.</t>
  </si>
  <si>
    <t>Just as a man doesn’t see
on awakening
what he met in a dream,
even so he doesn’t see,
when they are dead
—their time done—
those he held dear.</t>
  </si>
  <si>
    <t>Just as, on awakening, a person does not see
whatever was encountered in a dream, [159]
so too one does not see a beloved person
who has died and passed away.</t>
  </si>
  <si>
    <t>As one who’s waking then sees not
the things that happened in sleep;
so the beloved are not seen—
departed and done their time.</t>
  </si>
  <si>
    <t>The beloved things in the world are like things seen
in a dream,
Which, when one gets awake, how can one see?
So are the things that the world runs after;
Friends and acquaintances, when dead, how can one
see?</t>
  </si>
  <si>
    <t>diṭṭhāpi sutāpi te janā
yesaṁ nāmamidaṁ pavuccati
nāmamevāvasissati
akkheyyaṁ petassa jantuno</t>
  </si>
  <si>
    <t>Seen and heard are those people
of whom such-and-such a name is spoken.
Only the name remains
to be told of the person who is gone.</t>
  </si>
  <si>
    <t>You used to see and hear those folk,
and call them by their name.
Yet the name is all that’s left to tell
of a person when they’re gone.</t>
  </si>
  <si>
    <t>When they are seen &amp;heard,
people are called by this name or that,
but only the name remains
to be pointed to
when they are dead.</t>
  </si>
  <si>
    <t>Although those people were seen and heard,
and were known by such and such a name,
when a person has passed away,
the name alone remains to be uttered.</t>
  </si>
  <si>
    <t>People now are seen and heard
and this are called by name,
but alone will the name remain
in speaking of those gone.</t>
  </si>
  <si>
    <t>Gone are all those who are merely heard about,
Good as well as bad, whom no longer ‘can one see.
Kl] that left this world, what place have they ‘gone to?
The conscious beings have departed; names only
remain‘.</t>
  </si>
  <si>
    <t>sokapparidevamaccharaṁ
na jahanti giddhā mamāyite
tasmā munayo pariggahaṁ
hitvā acariṁsu khemadassino</t>
  </si>
  <si>
    <t>Sorrow, lamentation and avarice
they do not give up who are greedy for things called ‘mine’.
Therefore the Munis gave up possessions
and fared along seeing where safety lies.</t>
  </si>
  <si>
    <t>Those who are greedy for belongings
don’t give up sorrow, lamentation, and stinginess.
That’s why the sages, seers of sanctuary,
left possessions behind and wandered.</t>
  </si>
  <si>
    <t>Grief, lamentation, &amp;selfishness
are not let go
by those greedy for mine,
so sages
letting go of possessions,
go about
seeing the Secure.</t>
  </si>
  <si>
    <t>Those who are greedy for personal assets
do not escape sorrow, lamentation, and miserliness.
Therefore the munis, seers of security,
wandered having abandoned possessions.</t>
  </si>
  <si>
    <t>In “mine-making” greedy, they do not let go
of sorrow, lamenting and avarice,
therefore sages leaving possessions
freely wander, seers of security.</t>
  </si>
  <si>
    <t>Grief, bewailing and mutual jealousy, that already
' exist,
Are not given up by them that have greed and craving.
Therefore, craving for possessions have the B8265
abandoned,
From fears and terrors, far away, a safe place of rest
have they seen.</t>
  </si>
  <si>
    <t>patilīnacarassa bhikkhuno
bhajamānassa vivittamāsanaṁ
sāmaggiyamāhu tassa taṁ
yo attānaṁ bhavane na dassaye</t>
  </si>
  <si>
    <t>Of the monk who fares withdrawn
and resorts to a secluded seat
they say it agrees with his heart
not to show himself in an abode.</t>
  </si>
  <si>
    <t>For a mendicant who lives withdrawn,
frequenting a secluded seat,
they say it’s fitting
to not show themselves in a home.</t>
  </si>
  <si>
    <t>A monk, living withdrawn,
enjoying a dwelling secluded:
They say it’s congenial for him,
he who wouldn’t, in any realm, display self.</t>
  </si>
  <si>
    <t>When a bhikkhu lives withdrawn,
resorting to a secluded seat,
they say it is appropriate for him
not to show himself in a fixed dwelling.</t>
  </si>
  <si>
    <t>For a bhikkhu practicing in solitude,
keeping company with secluded mind,
of such a one are all agreed:
“In being he’ll not be seen again”.</t>
  </si>
  <si>
    <t>On the Truth, the Bhikgsu contemplates, without
' being forgetful‘;
He wishes to be away from the body that is sure to
be dissolved;
He wishes to cultivate quiescence and mental
contemplation ;
To Truth being inclined, there is no place llherel
where he can stay.</t>
  </si>
  <si>
    <t>sabbattha munī anissito
na piyaṁ kubbati nopi appiyaṁ
tasmiṁ paridevamaccharaṁ
paṇṇe vāri yathā na limpati</t>
  </si>
  <si>
    <t>Everywhere the Muni is independent
and does not regard things as liked or disliked.
On him lamentation and avarice
do not stick as water does not on a lotus leaf.</t>
  </si>
  <si>
    <t>The sage is independent everywhere,
they don’t form likes or dislikes.
Lamentation and stinginess
slip off them like water from a leaf.</t>
  </si>
  <si>
    <t>Everywhere
the sage
independent
makes nothing dear or undear.
In him
lamentation &amp;selfishness,
like water on a white lotus,
do not adhere.</t>
  </si>
  <si>
    <t>The muni is not dependent on anything;
he takes nothing as pleasing, nothing as displeasing.
Lamentation and miserliness do not stick to him
as water does not stick to a leaf.</t>
  </si>
  <si>
    <t>In all matters the sage is unsupported,
nothing that makes dear, nor undear,
sorrow and avarice do not stain that one,
As water does not stay upon a leaf.</t>
  </si>
  <si>
    <t>‘Having no place to stay’ indicates the conduct of
the Sage,
\Vhere, likes and dislikes, as well as the practices of
jealousy,
Grief and bewailing, along with the same practices
of jealousy,
Never do soil him, [jand so is he] like a lotus
[to which water doth not cling].</t>
  </si>
  <si>
    <t>udabindu yathāpi pokkhare
padume vāri yathā na limpati
evaṁ muni nopalippati
yadidaṁ diṭṭhasutaṁ mutesu vā</t>
  </si>
  <si>
    <t>As a water drop on a lotus leaf
does not stick or as water on a lotus flower,
so the Muni does not get stuck
in whatever is seen, heard, or thought.</t>
  </si>
  <si>
    <t>Like a droplet slips from a lotus-leaf,
like water from a lotus flower;
the sage doesn’t cling to that
which is seen or heard or thought.</t>
  </si>
  <si>
    <t>As a water bead on a lotus leaf,
as water on a red lily,
doesn’t adhere,
so the sage
doesn’t adhere
to the seen, the heard, or the sensed;</t>
  </si>
  <si>
    <t>Just as a water drop does not stick to a lotus leaf,
or water to the lotus flower,
so the muni does not cling to anything
among the seen, heard, or sensed.</t>
  </si>
  <si>
    <t>As a water-drop on lotus plant,
as water does not stain a lotus flower,
even so the sage is never stained
by seen, heard, or whatever’s cognized.</t>
  </si>
  <si>
    <t>Unsmeared by water, though in it, it doth grow;
The Sage, in this world, also acts thus;
What is heard or seen is like what has never come
into being.</t>
  </si>
  <si>
    <t xml:space="preserve">v 812 and 813 are inverted in Chinese </t>
  </si>
  <si>
    <t>6.10.</t>
  </si>
  <si>
    <t>dhono na hi tena maññati
yadidaṁ diṭṭhasutaṁ mutesu vā
nāññena visuddhimicchati
na hi so rajjati no virajjatīti</t>
  </si>
  <si>
    <t>The cleansed one does not conceive of a ‘that-by-which’
in regard to anything seen, heard, or thought.
He does not aspire to purity through what is other.
Neither does he get attached nor does he [strive] to get detached.</t>
  </si>
  <si>
    <t>For the one who is cleansed does not conceive
in terms of things seen, heard, or thought.
They do not wish to be purified by another;
they are neither passionate nor growing dispassioned.</t>
  </si>
  <si>
    <t>for, cleansed,
he doesn’t suppose
in connection
with the seen, the heard, or the sensed.
In no other way
does he wish for purity,
for he neither takes on passion
nor puts it away.</t>
  </si>
  <si>
    <t>One cleansed does not thereby conceive
things seen, heard, or sensed.
He does not wish for purification by another,
for he becomes neither passionate nor dispassionate.</t>
  </si>
  <si>
    <t>Certainly the wise do not conceive
upon the seen, the heard, and cognized,
nor wish for purity through another,
for they are not attached nor yet displeased.</t>
  </si>
  <si>
    <t>No‘ attachment or longing he has had;
For what he has seen or heard, amiss, no craving
has he;
As he pursues them not, Deliverance he doth seek;
Untainted by sensuous passion, lust how can he
nurse?</t>
  </si>
  <si>
    <t>TISSAMETTEYYA</t>
  </si>
  <si>
    <t>To Tissametteyya on the Disadvantages of Sex</t>
  </si>
  <si>
    <t>methunamanuyuttassa (iccāyasmā tisso metteyyo)
vighātaṃ brūhi mārisa
sutvāna tava sāsanaṃ
viveke sikkhissāmase</t>
  </si>
  <si>
    <t>If one were to engage in sexual intercourse,
tell us, Sir, about the misfortune one gets into.
Having heard your teaching
we will train in solitude.</t>
  </si>
  <si>
    <t>“When someone indulges in sex,”
said Venerable Tissametteyya,
“tell us, sir: what trouble befalls them?
After hearing your instruction,
we shall train in seclusion.”</t>
  </si>
  <si>
    <t>Tissa-metteyya:
“Tell the damage, dear sir,
for one given over
to sexual intercourse.
Having heard your teaching,
we’ll train in seclusion.”</t>
  </si>
  <si>
    <t>“For one who indulges in sexual intercourse,”
(said the Venerable Tissa Metteyya),
“tell me, dear sir, of the distress.
Having heard your teaching,
we will train in seclusion.”</t>
  </si>
  <si>
    <t>Attached to sexual intercourse:
Sir, tell its disadvantages,
having heard your Teaching then,
secluded we will train ourselves.</t>
  </si>
  <si>
    <t>Sexual attachment to the physical charms of a woman
Is considered as the root of ignorance, in the Great
Path
I wish to accept the teaching of the Honoured One;
Having attained that instruction, the evil [I will keep off</t>
  </si>
  <si>
    <t>MN 22; SN 1:20; AN 4:159; AN 5:75–76; AN 7:48; Ud 3:2</t>
  </si>
  <si>
    <t>methunamanuyuttassa (metteyyāti bhagavā)
mussatevāpi sāsanaṃ
micchā ca paṭipajjati
etaṃ tasmiṃ anāriyaṃ</t>
  </si>
  <si>
    <t>The one engages in sexual intercourse
forgets about the teachings,
and he takes a wrong course—
that is an ignoble trait in him.</t>
  </si>
  <si>
    <t>“When someone indulges in sex,”
replied the Buddha,
“they forget their instructions
and go the wrong way—
that is something ignoble in them.</t>
  </si>
  <si>
    <t>The Buddha:
“In one given over
to sexual intercourse,
the teaching is muddled
and he practices wrongly:
This is ignoble in him.</t>
  </si>
  <si>
    <t>“When one indulges in sexual intercourse,
(Metteyya,” the Blessed One said),
“even the teaching itself is forgotten,
and he practices wrongly:
this is ignoble in him.</t>
  </si>
  <si>
    <t>Attached to sexual intercourse,
forgetful of the Teaching then,
wrong things that person practices,
and does what is not Noble.</t>
  </si>
  <si>
    <t>Mental attachment to the physical senses of a woman
Leads to forgetfulness of the commandments of the
Sage;
Forgetting the right, one is led to lethargy [in
conduct],
Which means the violation of orderliness [in
conduct].</t>
  </si>
  <si>
    <t xml:space="preserve">Quite difierent stories. </t>
  </si>
  <si>
    <t>eko pubbe caritvāna
methunaṃ yo nisevati
yānaṃ bhantaṃva taṃ loke
hīnamāhu puthujjanaṃ</t>
  </si>
  <si>
    <t>The one who first fared alone
and then engages in sexual intercourse
is like a swaying chariot, as in the world
they say, a low ordinary man.</t>
  </si>
  <si>
    <t>Someone who formerly lived alone
and then resorts to sex
is like a chariot careening off-track;
in the world they call them a low, ordinary person.</t>
  </si>
  <si>
    <t>Whoever once went alone,
but then resorts
to sexual intercourse
—like a carriage out of control—
is called vile in the world,
a person run-of-the-mill.</t>
  </si>
  <si>
    <t>“One who previously lived alone
but then resorts to sexual intercourse
is like a vehicle that has gone astray:
in the world they call him a low worldling.</t>
  </si>
  <si>
    <t>Who formerly fared on alone
but now in sex indulges,
“Low” they say’s that common worldly one,
like vehicle swerving o ffthe track.</t>
  </si>
  <si>
    <t>Alone, he first carries his search of Truth,
But later, he gets mixed up with the pleasures of sex.
The cart rolls away, having missed the right course‘
To which it does not keep, but strays far away</t>
  </si>
  <si>
    <t>yaso kitti ca yā pubbe
hāyatevāpi tassa sā
etampi disvā sikkhetha
methunaṃ vippahātave</t>
  </si>
  <si>
    <t>The reputation and praise he had before
that falls away from him.
Seeing this too one should train oneself
to well abandon sexuality.</t>
  </si>
  <si>
    <t>Their former fame and reputation
also fall away.
Seeing this, they’d train
to give up sex.</t>
  </si>
  <si>
    <t>His earlier honor &amp;dignity:
lost.
Seeing this,
he should train himself
to abandon sexual intercourse.</t>
  </si>
  <si>
    <t>“Whatever fame and acclaim he previously enjoyed,
these fall away from him.
Having seen this, one should train
to abandon sexual intercourse.</t>
  </si>
  <si>
    <t>That one who had renown and fame—
that, for sure, diminishes,
having seen this, train yourself,
renouncing sexual intercourse.</t>
  </si>
  <si>
    <t>Formerly], when seen, a high seat was ofiered and
honour shown to him;
Character he did lose, and a good name he forgot all
Having learnt this truth, one must contemplate to
learn
The sexual practices to leave, relinquish and keep off</t>
  </si>
  <si>
    <t>saṅkappehi pareto so
kapaṇo viya jhāyati
sutvā paresaṃ nigghosaṃ
maṅku hoti tathāvidho</t>
  </si>
  <si>
    <t>Overcome by thoughts
he broods like a destitute.
Hearing what others are saying
he becomes worried.</t>
  </si>
  <si>
    <t>Oppressed by thoughts,
they brood like a wretch.
When they hear what others are saying,
such a person is embarrassed.</t>
  </si>
  <si>
    <t>Overcome by resolves,
he broods
like a miserable wretch.
Hearing the scorn of others,
he’s chagrined.</t>
  </si>
  <si>
    <t>“Oppressed by his thoughts,
he broods like a poor wretch.
Having heard the reprimand of others,
one such as this is humiliated.</t>
  </si>
  <si>
    <t>Overcome by (lustful) thoughts,
that one broods as a beggar does,
and hearing reproach of others, then
such a person is depressed.</t>
  </si>
  <si>
    <t>Contemplating on sex-pleasures, either good or bad,
And violating good conduct, what is it that he gains?
Having heard reports of good conduct of the wise,
He becomes sad and morose, thinking of nothing but self.</t>
  </si>
  <si>
    <t>atha satthāni kurute
paravādehi codito
esa khvassa mahāgedho
mosavajjaṃ pagāhati</t>
  </si>
  <si>
    <t>Then he starts making weapons
[in defence] when blamed by others.
And that is his big blunder:
he plunges into falsehood.</t>
  </si>
  <si>
    <t>Then they lash out with verbal daggers
when reproached by others.
This is their great blind spot; 
they sink to lies.</t>
  </si>
  <si>
    <t>Hearing the scorn of others,
he’s chagrined.
He makes weapons,
attacked by the words of others.
This, for him, is a great entanglement.
He sinks into lies.</t>
  </si>
  <si>
    <t>“Then he prepares weapons [of defense]
when reproached by the words of others.
This is a great thicket for him,
that he sinks into false speech.</t>
  </si>
  <si>
    <t>For yourself creating “arms”
of others reprimanding words,
so with great entanglement
sinks down into untruthfulness.</t>
  </si>
  <si>
    <t>Man with leaky conduct  bristles with dangers,
When he is addressed with short words of reprimand.
Being already attached, he gets into meshes of a net,
And then his deceipt displays words that are far from
truth</t>
  </si>
  <si>
    <t>paṇḍitoti samaññāto
ekacariyaṃ adhiṭṭhito
athāpi methune yutto
mandova parikissati</t>
  </si>
  <si>
    <t>Whereas he was considered a wise man
while he was devoted to solitude,
now that he engages in sexual intercourse
he gets pushed around like a fool.</t>
  </si>
  <si>
    <t>They once were considered astute, 
committed to the solitary life.
But then they indulged in sex,
dragged along by desire like an idiot</t>
  </si>
  <si>
    <t>They thought him wise
when he committed himself
to the life alone,
but now that he’s given
to sexual intercourse
they declare him a dullard.</t>
  </si>
  <si>
    <t>“He was known as a wise man
when resolved on living alone,
but when he engaged in sexual intercourse,
like a dullard he is afflicted.</t>
  </si>
  <si>
    <t>Well-known as “one who’s wise”
when vowing to the single life,
but later then engaged in sex
will be “a fool defiled”.</t>
  </si>
  <si>
    <t>Always? behaving in conformity with the wise,
Rather never getting mixed up, but all alone;
When he gets upset by the pleasures of sex,
All strength he loses and to exertion he becomes a
stranger.</t>
  </si>
  <si>
    <t>etamādīnavaṃ ñatvā
muni pubbāpare idha
ekacariyaṃ daḷhaṃ kayirā
na nisevetha methunaṃ</t>
  </si>
  <si>
    <t>Knowing the danger involved in this,
initially as well as later, the Muni
should make firm his solitary life
and not indulge in sexual intercourse.</t>
  </si>
  <si>
    <t>Knowing this danger
in falling from a former state here, 
a sage would firmly resolve to wander alone,
and would not resort to sex.</t>
  </si>
  <si>
    <t>Knowing these drawbacks, the sage
here—before &amp;after—
stays firm in the life alone;
doesn’t resort to sexual intercourse;</t>
  </si>
  <si>
    <t>“Having known this danger
here in the before and after,
a muni should resolutely live alone;
he should not resort to sexual intercourse.</t>
  </si>
  <si>
    <t>The disadvantage having known,
the sage, at start and afterwards,
should stablish fast the single life,
having no recourse to sex</t>
  </si>
  <si>
    <t>Seeing the violation [of conduct] as the cause of evil,
Take no recourse to physical actions that contempt
evoke;
But carry on with your life that may even be single,
Take wisdom and practise no pranks of folly</t>
  </si>
  <si>
    <t>vivekaññeva sikkhetha
etaṃ ariyānamuttamaṃ
na tena seṭṭho maññetha
sa ve nibbānasantike</t>
  </si>
  <si>
    <t>He should train only for seclusion
for that is highest for Noble ones.
By that he should not conceive he is best.
He truly is close to Nibbāna.</t>
  </si>
  <si>
    <t>They’d train themselves only in seclusion;
this, for the noble ones, is highest.
One who wouldn’t conceive themselves “best” due to that—
they have truly drawn near to extinguishment.</t>
  </si>
  <si>
    <t>would train himself
in seclusion—
this, for the noble is highest.
He wouldn’t, because of that,
suppose himself
to be better than others:
He’s on the verge of unbinding.</t>
  </si>
  <si>
    <t>“One should train just in seclusion;
this is supreme among the noble ones.
One should not conceive oneself best because of this:
then one is indeed close to nibbāna.</t>
  </si>
  <si>
    <t>So train yourself in solitude,
for that’s the life of Noble Ones,
but not conceive oneself as “best”—
them near indeed to Nirvāṇa.</t>
  </si>
  <si>
    <t>Far [from the world], find a lonely place of shelter,
Which is considered as the best by those who see the Truth.
When you have it, to self-pride give no shelter,
Though not in actual contact with Nirvana you are
quite near</t>
  </si>
  <si>
    <t>7.10.</t>
  </si>
  <si>
    <t>rittassa munino carato
kāmesu anapekkhino
oghatiṇṇassa pihayanti
kāmesu gadhitā pajāti</t>
  </si>
  <si>
    <t>The Muni faring released
unconcerned for sensual pleasures,
crossed over the flood, those people
envy who still are entangled in pleasures.</t>
  </si>
  <si>
    <t>People tied to sensual pleasures envy them:
the isolated, wandering sage
who has crossed the flood,
unconcerned for sensual pleasures.</t>
  </si>
  <si>
    <t>People enmeshed in sensual pleasures, envy him:
a sage remote, leading his life
unconcerned for sensual pleasures
one who’s crossed over the flood.”</t>
  </si>
  <si>
    <t>“When the muni lives void,
indifferent to sensual pleasures,
people tied to sensual pleasures envy him
as one who has crossed the flood.”</t>
  </si>
  <si>
    <t>The sage who’s rid of sense-desires,
who to them’s indifferent,
who’s crossed the flood, is envied then,
by those enmeshed with pleasures of sense</t>
  </si>
  <si>
    <t>Think and plan of going [from the world] far, far
away,
With no desire for sensuous pleasures, which get rid
of, all;
‘From suiiering get released’—thus the good men say;
Because all the worldlings are, in pleasures of sense,
merged</t>
  </si>
  <si>
    <t>PASŪRA</t>
  </si>
  <si>
    <t>To Pasura</t>
  </si>
  <si>
    <t>idheva suddhī iti vādayanti
nāññesu dhammesu visuddhimāhu
yaṃ nissitā tattha subhaṃ vadānā
paccekasaccesu puthū niviṭṭhā</t>
  </si>
  <si>
    <t>“Only here there is purity” they say,
in regard to other teachings they do not speak of purity.
In what they are depending upon, there they speak of ‘beauty’.
In separate truths they are individually entrenched.</t>
  </si>
  <si>
    <t>“Here alone is purity,” they say,
denying that there is purification in other teachings.
Speaking of the beauty in that which they depend on, 
each one is dogmatic about their own idiosyncratic interpretation.</t>
  </si>
  <si>
    <t>“‘Only here is there purity’
—that’s what they say—
‘No other doctrines are pure’
—so they say.
Insisting that what they depend on is good,
they are deeply entrenched
in idiosyncratic truths.</t>
  </si>
  <si>
    <t>“‘Here alone is purity,’ they declare;
they say there is no purification in other teachings.
Declaring whatever they depend on to be excellent,
many are entrenched in separate truths.</t>
  </si>
  <si>
    <t>They say: “In our Dharma purity’s found”
but deny that it is found in the Dharma of others.
On what they depend they say “it’s the best”,
and so settle down in their individual truths</t>
  </si>
  <si>
    <t>In what they say, [ they contend ], is the Pure Law,
which none excells;
The rest have no Law and, in knowledge, cannot equal them 
To what they know they cling, and find bliss in the
same.
Thinking it to be Truth, they in their wrong doctrine,
ground themselves firm</t>
  </si>
  <si>
    <t>See also: MN 18; MN 36; MN 58; MN 101; SN 42:8; AN 2:36; AN 3:62; AN 3:68; AN 3:73</t>
  </si>
  <si>
    <t>te vādakāmā parisaṃ vigayha
bālaṃ dahantī mithu aññamaññaṃ
vadanti te aññasitā kathojjaṃ
pasaṃsakāmā kusalā vadānā</t>
  </si>
  <si>
    <t>Wanting to debate they plunge into the assembly
and hold each other to be fools mutually.
Depending upon others they put forth their arguments.
Desirous of praise they claim to be experts.</t>
  </si>
  <si>
    <t>Desiring debate, they plunge into an assembly,
where each takes the other as a fool. 
Relying on others they state their contention,
desiring praise while claiming to be experts.</t>
  </si>
  <si>
    <t>Seeking controversy, they plunge into an assembly,
regarding one another as fools.
Relying on others’ authority,
they speak in debate.
Desiring praise, they claim to be skilled.</t>
  </si>
  <si>
    <t>“Desiring debate, having plunged into the assembly,
in pairs they accuse one another of being a fool.
Those of different convictions assert their argument,
desiring praise, claiming to be skilled.</t>
  </si>
  <si>
    <t>Those disputants into the assembly rush,
and perceive opposedly “the other” as a fool.
But in disputes, on others they rely—
these so-called experts ever-loving praise.</t>
  </si>
  <si>
    <t>A victory they always wish to score_ in their
assemblies,
And words such as ‘fools’ they pelt at each other, all
around;
Original words they forget and put an inte retation,
at will,
Mutually asking diflicult questions, which the wise
had already set</t>
  </si>
  <si>
    <t>Stories different in SpCm and Chinese and also some verses</t>
  </si>
  <si>
    <t>yutto kathāyaṃ parisāya majjhe
pasaṃsamicchaṃ vinighāti hoti
apāhatasmiṃ pana maṅku hoti
nindāya so kuppati randhamesī</t>
  </si>
  <si>
    <t>Engaged in dispute in the midst of the assembly
wanting praise he becomes anxious.
When being refuted he becomes depressed.
When blamed he gets irritated and looks for a flaw.</t>
  </si>
  <si>
    <t>Addicted to debating in the midst of the assembly,
their need for praise makes them nervous.
But when they’re repudiated they get embarrassed;
upset at criticism, they find fault in others.</t>
  </si>
  <si>
    <t>Engaged in disputes in the midst of the assembly,
—anxious, desiring praise—
the one defeated is
chagrined.
Shaken with criticism, he seeks for an opening.</t>
  </si>
  <si>
    <t>“Keen on speaking in the midst of the assembly,
wishing for praise, he becomes anxious.
If his assertion is rejected, he feels humiliated.
Upset by blame, he seeks a flaw [in his opponent].</t>
  </si>
  <si>
    <t>Engrossed in conflict midst the assembly,
fearing defeat, they wish only for praise,
having been refuted, that one’s truly confused,
angry at blame seeks weakness in the other</t>
  </si>
  <si>
    <t>In assemblies, questions he puts, the interpretations
to gather,
The explanations of those questions he expects, when
his words he has said.
In the assembly, when defeated, irritated he doth get,
For, what was hard for him to understand, all the
crowd knew so well</t>
  </si>
  <si>
    <t>Being Overbold, the Disadvantages of Debate</t>
  </si>
  <si>
    <t>yamassa vādaṃ parihīnamāhu
apāhataṃ pañhavimaṃsakāse
paridevati socati hīnavādo
upaccagā manti anutthunāti</t>
  </si>
  <si>
    <t>Due to the fact that they say his view is inferior
and refuted, those who are judging the questions,
he laments and grieves, being the loser,
and he wails “They went beyond me!”</t>
  </si>
  <si>
    <t>If their doctrine is said to be weak,
and judges declare it repudiated,
the loser weeps and wails,
moaning, “They beat me.”</t>
  </si>
  <si>
    <t>He whose doctrine is [judged as] demolished,
defeated, by those judging the issue:
He laments, he grieves—the inferior exponent.
‘He beat me,’ he mourns.</t>
  </si>
  <si>
    <t>“If they say his assertion is defective,
and the judges consider it rejected,
the loser laments and sorrows,
he moans: ‘He surpassed me.’</t>
  </si>
  <si>
    <t>“Through investigation is your argument
refuted and destroyed”—so they say.
That one grieves and laments—that mere arguer,
“Oh! I am overcome” that person wails</t>
  </si>
  <si>
    <t>Distressed and grieved that his words [brought]
defeat,
He sits uneasy and lies weeping and crying;
His wrong doctrines of old make him his words think
over;
“Words bring no victory”-this thought, in his
mind, doth roll</t>
  </si>
  <si>
    <t>ete vivādā samaṇesu jātā
etesu ugghāti nighāti hoti
etampi disvā virame kathojjaṃ
na haññadatthatthi pasaṃsalābhā</t>
  </si>
  <si>
    <t>Such are the disputes arisen among recluses.
In these there are elation and depression.
Seeing this one should avoid argumentation,
for there is no other benefit than the gain of praise herein.</t>
  </si>
  <si>
    <t>When these arguments come up among ascetics,
they get excited or dejected.
Seeing this, refrain from contention,
for the only purpose is praise and profit.</t>
  </si>
  <si>
    <t>These disputes have arisen among contemplatives.
In them are
elation,
dejection.
Seeing this, one should abstain from disputes,
for they have no other goal
than the gaining of praise.</t>
  </si>
  <si>
    <t>“These disputes have arisen among ascetics;
in relation to them, one becomes elated and dejected.
Having seen this, too, one should desist from arguments,
for there is no other benefit than praise and gain.</t>
  </si>
  <si>
    <t>Arisen among monks—those controversies
among them cause both elation and depression.
Refrain therefore, from disputation!
No meaning’s in it save the prize of praise</t>
  </si>
  <si>
    <t>Having seen this, his tongue (lit. mouth) to guard,
he is inclined,
But, soon, he lets it loose (lit. opens the mouth),
. which the questions hard had tied (lit. closed),
When heifinds that the questions in his mind do a
good reception get,
In words which, when uttered, do the [whole]
gathering enliven</t>
  </si>
  <si>
    <t>pasaṃsito vā pana tattha hoti
akkhāya vādaṃ parisāya majjhe
so hassatī unnamatī ca tena
pappuyya tamatthaṃ yathā mano ahu</t>
  </si>
  <si>
    <t>If he gets praise there, however,
having spoken his word in the midst of the assembly,
he laughs and gets elated due to it
having achieved the purpose his mind was set upon</t>
  </si>
  <si>
    <t>But if, having declared their doctrine,
they are praised there in the midst of the assembly,
they laugh and proudly show off because of it,
having got what they wanted.</t>
  </si>
  <si>
    <t>While he who is praised there
for expounding his doctrine
in the midst of the assembly,
laughs on that account &amp;grows haughty,
attaining his heart’s desire.</t>
  </si>
  <si>
    <t>“If, however, he is praised there,
having declared his doctrine in the midst of the assembly,
he is thrilled by this and swells with pride,
having obtained the benefit that accords with his wish.</t>
  </si>
  <si>
    <t>Praised in the midst of the assembly
for the presentation of arguments,
then that one laughs, or else is haughty.
So they say, “Conceited by winning debate”.</t>
  </si>
  <si>
    <t>Words, pleasing and sweet, make his mind joyful and glad;
Attachment to pleasure and joy, he thinks as
‘all-in-all’.</t>
  </si>
  <si>
    <t>yā unnatī sāssa vighātabhūmi
mānātimānaṃ vadate paneso
etampi disvā na vivādayetha
na hi tena suddhiṃ kusalā vadanti</t>
  </si>
  <si>
    <t>But that elation is a source of trouble for him,
for it makes him talk out of conceit and arrogance.
Having seen this too one should not dispute,
for the skillful ones say there is no purity through that.</t>
  </si>
  <si>
    <t>Their pride is their downfall,
yet they speak from conceit and arrogance.
Seeing this, one ought not get into arguments,
for experts say this is no way to purity.</t>
  </si>
  <si>
    <t>That haughtiness will be grounds for his damage,
for he’ll speak in pride &amp;conceit.
Seeing this, one should abstain from debates.
No purity is attained by them, say the skilled.</t>
  </si>
  <si>
    <t>“Though his pride is the ground of distress,
he yet speaks from conceit and arrogance.
Having seen this, too, one should not dispute;
for the skilled say this does not bring purity.</t>
  </si>
  <si>
    <t>Though haughtiness will be ground for a downfall,
still proudly that one speaks, and with arrogance:
this having seen, refrain from disputations—
not by that is there purity, so the skilled say.</t>
  </si>
  <si>
    <t>Exhalting his self’ doth mean leakage and fall,
He doth not learn: from what his prosperity will
arise.
“Then he learns this, he indulgeth not in words,
vain,
[For], from them, no good release can he in any
way obtain</t>
  </si>
  <si>
    <t>sūro yathā rājakhādāya puṭṭho
abhigajjameti paṭisūramicchaṃ
yeneva so tena palehi sūra
pubbeva natthi yadidaṃ yudhāya</t>
  </si>
  <si>
    <t>Like a hero fed on royal food
goes challengingly forth looking for a rival,
you run to him, hero!
For right in front of you there is naught to battle with</t>
  </si>
  <si>
    <t>As a warrior, after feasting on royal food,
goes roaring, wanting an opponent—
go off and find an opponent, Sūra,
for here, as before, there is no-one to fight.</t>
  </si>
  <si>
    <t>Like a strong man nourished on royal food,
you prowl about, roaring, searching out an opponent.
Wherever the battle is,
go there, strong man.
As before, there’s none here.</t>
  </si>
  <si>
    <t>“Just as a hero, nourished on the king’s food,
comes thundering, desiring an opponent,
rush off in his direction, Sūra;197
already in the past, there was no scope for a fight.</t>
  </si>
  <si>
    <t>Just as a strong man, fed
upon royal food, might roar forth,
wishing for a champion rival,
but finds from the first there’s nought to fight</t>
  </si>
  <si>
    <t>Relying much on them means a painful course to
adopt,
For, he goes seeking those, on whom he his questions
would try;
With shameless audacity, he doth go and come
To meet some one, with whom he may, forthwith,
. dispute.</t>
  </si>
  <si>
    <t>ye diṭṭhimuggayha vivādayanti
idameva saccanti ca vādayanti
te tvaṃ vadassū na hi tedha atthi
vādamhi jāte paṭisenikattā</t>
  </si>
  <si>
    <t>To those who pick up a view and quarrel
and say “This alone is the truth”,
you should speak; for here you won’t find
anyone to oppose you when a dispute has arisen</t>
  </si>
  <si>
    <t>When someone argues about a view they have adopted,
saying, “This is the only truth,”
say to them, “Here you’ll have no adversary
when a dispute has come up.”</t>
  </si>
  <si>
    <t>Those who dispute, taking hold of a view,
saying, “This, and this only, is true,”
those you can talk to.
Here there is nothing—
no confrontation
at the birth of disputes.</t>
  </si>
  <si>
    <t>“When they grasp a view and argue,
and assert, ‘This alone is true,’ [163]
tell them: ‘When a debate has arisen
there is no opponent for you here.’</t>
  </si>
  <si>
    <t>Those holding a view and disputing, say thus:
“This alone is the truth”, so they aver;
then reply to them: “But no one’s here
to retaliate through disputation”.</t>
  </si>
  <si>
    <t>Embracing a column of darkness, he wishes his
difficulties to clear,
The fool holds: ‘Wrong you are,! With us is Truth!’
For flowers you move about, but no fruit you do see;
Words are given out, but their meaning you must seek</t>
  </si>
  <si>
    <t>8.10.</t>
  </si>
  <si>
    <t>visenikatvā pana ye caranti
diṭṭhīhi diṭṭhiṃ avirujjhamānā
tesu tvaṃ kiṃ labhetho pasūra
yesīdha natthī paramuggahītaṃ</t>
  </si>
  <si>
    <t>But those who fare along freed from opposition
without countering views with views,
among them what will you get, Pasūra,
those for whom there is nothing grasped as the highest?</t>
  </si>
  <si>
    <t>There are those who live far from the crowd,
not countering views with view.
Who is there to argue with you, Pasūra,
among those who grasp nothing here as the highest?</t>
  </si>
  <si>
    <t>Whom would you gain as opponent, Pasūra,
among those who live above confrontation—
not pitting view against view—
who have nothing here grasped as supreme?</t>
  </si>
  <si>
    <t>“But among those who live remote,
who do not oppose a view with other views,
what will you obtain, Pasūra, from those
who grasp nothing here as supreme?</t>
  </si>
  <si>
    <t>They continue with their practice, offering no opposition
against others, offering no view opposed to view.
But then, Pasūra, what would you obtain?
For them there is nothing to be grasped as the highest</t>
  </si>
  <si>
    <t>Seeking light, they have left the wrong; far behind,
Conforming to the [real] meaning of the Law,
from mutual hurt, they keep aloof."
From such good men of the Law, !O Bravo! what words do you expect?
They never suffer, like those that are affected by
the good or evil [they do].</t>
  </si>
  <si>
    <t>atha tvaṃ pavitakkamāgamā
manasā diṭṭhigatāni cintayanto
dhonena yugaṃ samāgamā
na hi tvaṃ sakkhasi sampayātaveti</t>
  </si>
  <si>
    <t>You came along in speculation
thinking out view-issues in your mind.
You came face to face with the cleansed one,
you won’t be able to sort yourself out</t>
  </si>
  <si>
    <t>And so you come along speculating,
thinking up theories in your mind.
Now that you’ve challenged someone who’s cleansed, 
you’ll not be able to respond</t>
  </si>
  <si>
    <t>So here you come,
conjecturing,
your mind thinking up
viewpoints.
You’re paired off with a pure one
and so cannot proceed.”</t>
  </si>
  <si>
    <t>“But now you have come brooding,
devising speculative views in your mind.
You have confronted one who is cleansed:
indeed, you won’t be able to succeed.”</t>
  </si>
  <si>
    <t>As you’ve come here, in your mind
thinking and speculating on various views,
you have met with a Washed One
But will not be able to make progress with him</t>
  </si>
  <si>
    <t>Thinking in mind of the practices followed and heresies heard,
You came to perceptions which the true thought
expelled;
Now] with the Great Captain, you have come to be, truly, in league.
Who surpassing fire-flies‘, over-all will [surely] shine</t>
  </si>
  <si>
    <t>Here, yuga is connected in the Niddesa with yugaggāha (“taking the reins”), which in turn is connected in Vb 17:75.2 with “causing disputes”. It seems to be an idiom for “issuing a challenge”. In any case, it has a stronger sense than just “met, encountered”.</t>
  </si>
  <si>
    <t>MĀGANDIYA</t>
  </si>
  <si>
    <t>To Magandiya</t>
  </si>
  <si>
    <t>disvāna taṇhaṃ aratiṃ ragañca
nāhosi chando api methunasmiṃ
kimevidaṃ muttakarīsapuṇṇaṃ
pādāpi naṃ samphusituṃ na icche</t>
  </si>
  <si>
    <t>On seeing Taṇhā, Arati, and Ragā
there was not any desire for sexual intercourse,
then what about this thing full of urine and excrement?
Not even with my foot would I want to touch it.</t>
  </si>
  <si>
    <t>“Even when I saw the sirens Craving, Delight, and Lust, Māra’s daughters, the archetypal temptresses
I had no desire for sex.
What is this body full of piss and shit?
I wouldn’t even want to touch it with my foot</t>
  </si>
  <si>
    <t>[Māgandiya, a brahman, offers his daughter to the Buddha, who replies:]
"On seeing [the daughters of Māra]
—Discontent, Craving, &amp;Passion—
there wasn’t even the desire for sex.
So what would I want with this,
filled with urine &amp;excrement?
I wouldn’t want to touch it
even with my foot.”</t>
  </si>
  <si>
    <t>“Having seen Taṇhā, Aratī, and Ragā,
I did not have any desire for sexual intercourse,
so why [should I desire] this, full of urine and feces?
I would not wish to touch her even with my foot.”</t>
  </si>
  <si>
    <t>As Craving with Longing and Lust had been Seen
no spark of desire existed for sex,
What then about this filled with piss and with shit—
That even with foot I’d not wish to touch!</t>
  </si>
  <si>
    <t>“Formerly, I saw three wicked women
Discontent, Evil attachment and Sex-passion.
Now why is here brought [this store of]_fesces and urine,
Which, even with my foot, I won’t like to touch?</t>
  </si>
  <si>
    <t>See also: DN 9; MN 63; MN 72; AN 4:194, MN 58, MN 22</t>
  </si>
  <si>
    <t>etādisaṃ ce ratanaṃ na icchasi
nāriṃ narindehi bahūhi patthitaṃ
diṭṭhigataṃ sīlavataṃ nu jīvitaṃ
bhavūpapattiñca vadesi kīdisaṃ</t>
  </si>
  <si>
    <t>If you do not want such a treasure,
a woman desired by many kings,
then what sort of view, virtue, practice, life,
and rearising in existence do you proclaim?</t>
  </si>
  <si>
    <t>“If you do not want a gem such as this,
a lady desired by many rulers of men,
then what kind of theory, precepts and vows, livelihood,
and rebirth in a new life do you assert?”</t>
  </si>
  <si>
    <t>Māgandiya:
“If you don’t want
this gem of a woman, coveted
by many kings,
then for what sort of viewpoint,
habit, practice, life,
attainment of [further] becoming
do you argue?”</t>
  </si>
  <si>
    <t>“If you do not wish a gem such as this,
a woman desired by many rulers of men,
what kind of view, behavior, observances, lifestyle,
existence, and rebirth do you assert?”</t>
  </si>
  <si>
    <t>If you don’t wish for a jewel such as this,
a woman desired by many lords of men,
what view do you hold, living by what rite,
by what vows to arise in what kind of life?</t>
  </si>
  <si>
    <t>Sexual passion and discontent referred to by me,
And irreligious practices, as well, I find no more in me.
The evil though I am aware of, disgust I have not
yet felt;'
Until it settles within, countless sufiering will there
be</t>
  </si>
  <si>
    <t>the story is identical
several stanzas which
agree with the Pali, only in part. Some lines agree, while others in
the same stanza are quite different.</t>
  </si>
  <si>
    <t>idaṃ vadāmīti na tassa hoti (māgandiyāti bhagavā)
dhammesu niccheyya samuggahītaṃ
passañca diṭṭhīsu anuggahāya
ajjhattasantiṃ pacinaṃ adassaṃ</t>
  </si>
  <si>
    <t>The thought “I proclaim this” does not occur to me
regarding what is evaluated and assumed from among ideas.
But seeing, and not taking up from among views,
while investigating I saw inner peace.</t>
  </si>
  <si>
    <t>After judging among the teachings
said the Buddha to Māgaṇḍiya,
“none have been adopted thinking, ‘I assert this.’
Seeing views without adopting any,
searching, I saw inner peace.”</t>
  </si>
  <si>
    <t>The Buddha:
“‘I argue for this’
doesn’t occur to one
when considering what’s grasped
among doctrines.
Looking for what is ungrasped
with regard to views,3
and detecting inner peace,
I saw.”</t>
  </si>
  <si>
    <t>“Having decided among teachings,
(Māgandiya,” said the Blessed One),
“it does not occur to one, ‘I assert this,’
[about a view] tightly grasped.
But seeing into views, not grasping any of them,
investigating, I saw the peace within.”</t>
  </si>
  <si>
    <t>As nothing is grasped among various Dharmas,
so for me there is not any “This I proclaim”,
having seen but not grasped among many views,
through discernment among them I saw inner peace.</t>
  </si>
  <si>
    <t>Beautiful to look at, and covered with sinews and
skin,
[Is this body] ; but how ‘can the sage accept it?
They who practise enlightenment and insight, within
and without,
And who are on the side of wisdom style it as nothing
but foolish</t>
  </si>
  <si>
    <r>
      <rPr>
        <rFont val="Roboto"/>
        <i/>
        <color rgb="FF202124"/>
        <sz val="11.0"/>
      </rPr>
      <t>Idaṁ</t>
    </r>
    <r>
      <rPr>
        <rFont val="Roboto"/>
        <i val="0"/>
        <color rgb="FF202124"/>
        <sz val="11.0"/>
      </rPr>
      <t> (neuter) refers to the body (</t>
    </r>
    <r>
      <rPr>
        <rFont val="Roboto"/>
        <i/>
        <color rgb="FF202124"/>
        <sz val="11.0"/>
      </rPr>
      <t>rūpa</t>
    </r>
    <r>
      <rPr>
        <rFont val="Roboto"/>
        <i val="0"/>
        <color rgb="FF202124"/>
        <sz val="11.0"/>
      </rPr>
      <t>) not to the girl. It’s a meaningful distinction; the Buddha was criticizing the nature of the body, not shaming the person.</t>
    </r>
  </si>
  <si>
    <t>vinicchayā yāni pakappitāni (iti māgandiyo )
te ve munī brūsi anuggahāya
ajjhattasantīti yametamatthaṃ
kathaṃ nu dhīrehi paveditaṃ taṃ</t>
  </si>
  <si>
    <t>The evaluations that have been made,
of not assuming them, Muni, you are talking.
The “inner peace”—what this term means—
how is it being made known by the wise?</t>
  </si>
  <si>
    <t>“O sage, you speak of judgments you have formed,”
said Māgaṇḍiya,
“without having adopted any of those views.
As to that matter of ‘inner peace’—
how is that described by the wise?”</t>
  </si>
  <si>
    <t>Māgandiya:
“Sage, you speak
of not grasping
at any theorized judgments.
This ‘inner peace’:
What does it mean?
How is it,
by the enlightened,
proclaimed?”</t>
  </si>
  <si>
    <t>“Indeed, muni, you speak without grasping
those judgments that have been formulated,”
(said Māgandiya).
“As to that matter called ‘the peace within,’
how is it proclaimed by the wise?”</t>
  </si>
  <si>
    <t>Among what’s constructed thoroughly knowing,
Ungrasping, O Sage, do you speak upon these,
“inward peacefulness”—what meaning has that,
how will the wise declare it to be?</t>
  </si>
  <si>
    <t xml:space="preserve"> It will also be noticed that the Chinese translation has no verses corresponding to Sn.
886-888, but substitutes tor these three, only two verses, which are al-together difierent. </t>
  </si>
  <si>
    <t>na diṭṭhiyā na sutiyā na ñāṇena (māgandiyāti bhagavā)
sīlabbatenāpi na suddhimāha
adiṭṭhiyā assutiyā añāṇā
asīlatā abbatā nopi tena
ete ca nissajja anuggahāya
santo anissāya bhavaṃ na jappe</t>
  </si>
  <si>
    <t>Not through view, learning or knowledge,
nor through virtue and practice do I declare purity.
Even so, not without view, learning and knowledge
and also not without virtue, without practice.
Relinquishing these without taking up,
peaceful without depending, one should not yearn for existence</t>
  </si>
  <si>
    <t>“Purity is neither spoken of in terms of view,”
said the Buddha to Māgaṇḍiya,
“oral transmission, notion, and precepts and vows;
nor in terms of that without view, oral transmission,
notion, and precepts and vows.
Having relinquished these, not adopting them,
peaceful, independent, one would not pray to be reborn.”</t>
  </si>
  <si>
    <t>The Buddha:
“He doesn’t speak of purity
in connection with     view,
learning,
knowledge,
habit or practice.
Nor is it found by a person
through lack of view,
of learning,
of knowledge,
of habit or practice.4
Letting these go, without grasping,
at peace,
independent,
one wouldn’t long for becoming.”</t>
  </si>
  <si>
    <t>“Not by view, nor by learning, nor by knowledge,
(Māgandiya,” said the Blessed One),
“nor do I speak of purity through good behavior and observances;
but neither without view, without learning, without knowledge,
without good behavior, without observances — not in that way.
But having relinquished these, not grasping any of them,
peaceful, not dependent, one should not hanker for existence.”</t>
  </si>
  <si>
    <t>Neither from views, not from learning or knowledge,
not from rites, or from vows, does purity come I say;
nor from no views, no learning, no knowledge acquired,
no rites and no vows—none of them at all,
Neither by grasping nor giving them up
is their peace unsupported, and no hunger “to be”.</t>
  </si>
  <si>
    <t>Neither by what is seen, or heard, or known’,
Nor by rites and rituals can purity be attained;
Neither by the absence of what is seen, or heard, or
' known,
Nor by non-observance of rituals can self-purity be
gained.
Leaving far such thoughts, by giving no shelter to them,
Life one may not applaud, but guard, instead,
the actions of tongue</t>
  </si>
  <si>
    <t>MN 22 (in particular, the simile of the raft),</t>
  </si>
  <si>
    <t>no ce kira diṭṭhiyā na sutiyā na ñāṇena (iti māgandiyo)
sīlabbatenāpi na suddhimāha
adiṭṭhiyā assutiyā añāṇā
asīlatā abbatā nopi tena
maññāmahaṃ momuhameva dhammaṃ
diṭṭhiyā eke paccenti suddhiṃ</t>
  </si>
  <si>
    <t>If you do not through view, learning or knowledge
declare purity, and also not through virtue and practice—
and still not without view, learning and knowledge,
as well as not without virtue and practice—
then I think such a teaching is all confused;
since through view some refer to purity</t>
  </si>
  <si>
    <t>“It seems purity is neither spoken of in terms of view,”
said Māgaṇḍiya,
“oral transmission, notion, and precepts and vows;
nor in terms of that without view, oral transmission,
notion, and precepts and vows.
If so, I think this teaching is sheer confusion;
for some believe in purity in terms of view.”</t>
  </si>
  <si>
    <t>Māgandiya:
“Well, if he doesn’t speak of purity
in connection with     view,
learning,
knowledge,
habit or practice.
and it isn’t found by a person
through lack of view,
of learning,
of knowledge,
of habit or practice,5
it seems to me that this teaching’s
simply confused,
for some assume a purity
in terms of
—by means of6—
a view.”</t>
  </si>
  <si>
    <t>“If indeed it is not by view, by learning, nor by knowledge,” (said Māgandiya),
“nor by good behavior and observances, that one speaks of purity; [165]
nor without view, without learning, without knowledge,
without good behavior and observances — not in that way,
I think this is an utterly confused teaching;
some fall back on purity by means of view.”</t>
  </si>
  <si>
    <t>If you speak then not of purity by views,
not by learning, not by knowledge, not rites and not vows;
nor from no views, no learning, no knowledge acquired,
by no rites and no vows—none of them at all,266 sutta nipāta
then I think that this is very deluded Dharma,
for some depend on views as the source of purity.</t>
  </si>
  <si>
    <t>If by giving up five corruptions like what is heard or seen,
Or by wisdom, rites and rituals, no purity may one expect,
Nor, by non-entertaining heresies in the world, nor
by ignorance,
Nor by the absence of rites and rituals, can that
designation [of purity] one attain,
This, I deem, is falling into [the deep pit of] darkness:
‘That who—so-ever wants Purity can have it through
heresies [alone</t>
  </si>
  <si>
    <t>diṭṭhañca nissāya anupucchamāno (māgandiyāti bhagavā)
samuggahītesu pamohamāgā
ito ca nāddakkhi aṇumpi saññaṃ
tasmā tuvaṃ momuhato dahāsi</t>
  </si>
  <si>
    <t>Putting your questions dependent on view
you have come to bewilderment regarding assumptions,
but here you saw not even the slightest notion,
therefore you are holding it to be all confused</t>
  </si>
  <si>
    <t>“Continuing to question while relying on a view,”
said the Buddha to Māgaṇḍiya,
“you’ve become confused by all you’ve adopted.
From this you’ve not glimpsed the slightest idea,
which is why you consider the teaching confused</t>
  </si>
  <si>
    <t>The Buddha:
“Asking questions
dependent on view,
you’re confused
by the things you have grasped.
And so you don’t glimpse
even
the slightest
notion
[of what I am saying].
That’s why you think
it’s confused.</t>
  </si>
  <si>
    <t>“Asking repeatedly while dependent on a view,
(Māgandiya,” said the Blessed One),
“you have become baffled over things tightly grasped.
But from this you have not gained even an inkling;
hence you consider it utterly confused.</t>
  </si>
  <si>
    <t>Questioning repeatedly dependent on views,
grasped at again, you’ve arrived at delusion,
not having experienced even a tiny perception of peace,
so therefore you see this as very deluded.</t>
  </si>
  <si>
    <t>Ask, as you do, about Truth in what‘is heard or
The Truth, mentally conceived, you take as to the Path;
[The Truth] you may have approached, but hardly
have discerned‘.
How then with your words can you
play false to the Saint?</t>
  </si>
  <si>
    <t>samo visesī uda vā nihīno
yo maññatī so vivadetha tena
tīsu vidhāsu avikampamāno
samo visesīti na tassa hoti</t>
  </si>
  <si>
    <t>“Equal, superior or inferior”—if in these terms
one thinks of oneself one might quarrel on that account.
But if one is unshaken in the three modes,
“equal-superior” ideas do not occur to him.</t>
  </si>
  <si>
    <t>If you think that ‘I’m equal,
special, or worse’, you’ll get into arguments.
Unwavering in the face of the three discriminations,
you’ll have no thought ‘I’m equal or special’.</t>
  </si>
  <si>
    <t>Whoever supposes
‘equal,’
‘superior,’ or
‘inferior,’
by that he’d dispute;
whereas to one unaffected
by these three,
‘equal,’
‘superior,’
do not occur.</t>
  </si>
  <si>
    <t>“One who thinks himself equal, superior, or inferior
might engage in disputes because of this.
Not shaking among these three discriminations,
he does not think ‘equal, superior.’</t>
  </si>
  <si>
    <t>Who as “equal” considers, “greater” or “less”,
conceiving others thus would dispute because of this;
but who by these three never is swayed,
“equal”, “superior” does not exist.</t>
  </si>
  <si>
    <t>Equal, or superior, or not even one’s equal’
To such notions, when attached, the discrimination
doth one make;
But in the absence of these three, what dispute can
there be?
All such [notions] he has cut ofi, and will it not
therefore, in vain, be?</t>
  </si>
  <si>
    <t>saccanti so brāhmaṇo kiṃ vadeyya
musāti vā so vivadetha kena
yasmiṃ samaṃ visamaṃ vāpi natthi
sa kena vādaṃ paṭisaṃyujeyya</t>
  </si>
  <si>
    <t>Why should the Brāhmaṇa say “this is true”?
“This is false”: with whom should he so quarrel?
The one who has no ideas of equality or inequality,
with whom in the world should he join in quarrel?</t>
  </si>
  <si>
    <t>Why would that brahmin say, ‘It’s true’,
or with whom would they argue, ‘It’s false’?
There is no equal or unequal in them,
so who would they take on in debate?</t>
  </si>
  <si>
    <t>Of what would the brahman say ‘true’
or ‘false,’
with whom would he dispute?
With whom would he join in dispute,
he in whom ‘equal,’ ‘unequal’ are not?</t>
  </si>
  <si>
    <t>“Why would that brahmin assert, ‘It’s true,’
or with whom would he dispute, ‘It’s false’?
When for him there is no ‘equal’ and ‘unequal,’
with whom would he engage in debate?</t>
  </si>
  <si>
    <t>Why would this Brahmin declare “this is the true”,
with whom would he argue that “this is false”,
in whom there is not “equal”, “unequal”,
with whom would he join another in dispute?</t>
  </si>
  <si>
    <t>Here is the Truthful!’——-how can one thus proclaim?
‘To the void he has clung!’—such dispute who
can raise?
‘Right or wrong’?all such [judgment] he has
ended.
In what words, then, can you his shortcomings declaim?</t>
  </si>
  <si>
    <t>9.10.</t>
  </si>
  <si>
    <t>okaṃ pahāya aniketasārī
gāme akubbaṃ muni santhavāni
kāmehi ritto apurakkharāno
kathaṃ na viggayha janena kayirā</t>
  </si>
  <si>
    <t>Leaving the house, roaming homeless,
he should not make close connections with the village.
Rid of sensual objects, not preoccupied with them,
he should not talk in a quarrelsome way with people</t>
  </si>
  <si>
    <t>After leaving shelter to migrate unsettled,
a sage doesn’t get close to anyone in town.
Rid of sensual pleasures, expecting nothing,
they wouldn’t get in arguments with people.</t>
  </si>
  <si>
    <t>Having abandoned home,
living free from society,
the sage
in villages
creates no intimacies.
Remote from sensuality, not
preferring,
he wouldn’t engage with people
in quarrelsome debate.</t>
  </si>
  <si>
    <t>“Having left home to roam without abode,
in the village the muni is intimate with none.
Void of sensual pleasures, without preferences,
he would not engage in contentious talk with people.</t>
  </si>
  <si>
    <t>With home let go, faring on in homelessness,
in villages the Sage having no intimates,
rid of sensual desires, having no preference,
would not with any arguments people engage</t>
  </si>
  <si>
    <t>The ocean of craving he gives up, and into the
unthinkable he doth pass;
Into the country, with dexterity, endurance doth he
practise;
From craving released, no undue regard 
[for any] doth he cherish,
All the worldly poisons he has vanquished, and will
not [again] be born</t>
  </si>
  <si>
    <t>A long explanation of this verse, attributed to Ven. Mahā Kaccāna, is contained in SN 22:3.</t>
  </si>
  <si>
    <t>yehi vivitto vicareyya loke
na tāni uggayha vadeyya nāgo
jalambujaṃ kaṇṭakaṃ vārijaṃ yathā
jalena paṅkena canūpalittaṃ
evaṃ munī santivādo agiddho
kāme ca loke ca anūpalitto</t>
  </si>
  <si>
    <t>The things in the world he should fare aloof from,
taking hold of them the great man should not speak.
Like the water-born thorny-stalked lotus
is unsoiled by water and mud,
so the Muni who speaks of peace and is not greedy
is unsoiled by sensual pleasures.</t>
  </si>
  <si>
    <t>A spiritual giant would not take up for argument
the things in the world from which they live secluded.
As a prickly lotus born in the water
is unsullied by water and mud,
so the greedless sage, proponent of peace,
is unsmeared by sensuality and the world.</t>
  </si>
  <si>
    <t>Those things
aloof from which
he should go about in the world:
The Nāga
wouldn’t take them up
&amp;argue for them.
As the prickly lotus
is unsmeared by water &amp;mud,
so the sage,
an exponent of peace,
without greed,
is unsmeared by sensuality &amp;
the world.</t>
  </si>
  <si>
    <t>“When he wanders detached from things in the world,
the nāga would not grasp and assert them. [166]
As a thorny-stalked lotus, born in the water,198
is untainted by water and mud,
just so the muni, a proponent of peace, free of greed,
is untainted by sensual pleasures and the world.</t>
  </si>
  <si>
    <t>Unattached, one wanders forth in the world,
a Nāga, ungrasping, would not dispute those,
just as the water lily, thorny-stemmed species,
sullied is not by water or mud,
even so is the ungreedy Sage proclaiming Peace,
unsullied by desires and pleasures in the world</t>
  </si>
  <si>
    <t>All the world over, he wandered, seeking suffering to destroy,
From all dispute was the Saint free, not joining
issues with any;
Like the water-lotus, that i pure and devoid ofmud,
And unsullied by particles, thick, of filth and mire;
Quiescent is the Sage, who from lust is all free,
With no attachmentsfor the world or its pleasures that may be</t>
  </si>
  <si>
    <t>na vedagū diṭṭhiyā na mutiyā
sa mānameti na hi tammayo so
na kammunā nopi sutena neyyo
anūpanīto sa nivesanesu</t>
  </si>
  <si>
    <t>The wisdom-accomplisher does not by view or by thought
go to conceit, he is not ‘made-of-that’.
He is not traceable through action or learning
he is not led to take up an abode anywhere</t>
  </si>
  <si>
    <t>A knowledge master does not become conceited
due to view or thought, for they do not identify with that.
They’ve no need for deeds or learning
they’re not indoctrinated in dogmas</t>
  </si>
  <si>
    <t>An attainer-of-knowledge isn’t measured
made proud8
by views or what’s thought,
for he isn’t fashioned9 of them.
He wouldn’t be led
by action,10 learning;
doesn’t reach a conclusion
in any entrenchments.</t>
  </si>
  <si>
    <t>“Because of a view199 or an opinion
a Veda-master does not become conceited,
for he does not identify with them.
Not led by kamma or by what is heard,
he is not drawn to any abodes.</t>
  </si>
  <si>
    <t>The Wise One’s not conceited by view or by intelligence,
for that one there is no “making-it-mine”;
and cannot be led by good works or by learning,
cannot be led away by mind-shelters of view</t>
  </si>
  <si>
    <t>No conceived notions he permits to roll in his mind,
He moves like the Released. ‘and from consciousness
all freed;
In none of the three’ actions merged, doth he move
about,
And _the three Realms of life he gives up, which he, commends to none</t>
  </si>
  <si>
    <t>saññāvirattassa na santi ganthā
paññāvimuttassa na santi mohā
saññañca diṭṭhiñca ye aggahesuṃ
te ghaṭṭayantā vicaranti loketi</t>
  </si>
  <si>
    <t>There are no knots for him who is detached from notions,
no delusions for him who is freed through wisdom.
But those who have taken up notions and views—
they go around the world clashing with each other</t>
  </si>
  <si>
    <t>There are no ties for one detached from ideas;
there are no delusions for one freed by wisdom.
But those who have adopted ideas and views
wander the world causing conflict.”</t>
  </si>
  <si>
    <t>For one dispassionate toward perception
there are no snares;
for one released by discernment,
no
delusions.
Those who grasp at perceptions &amp;views
go about clashing in the world.”</t>
  </si>
  <si>
    <t>“For one detached from perception there are no knots;
for one liberated by wisdom there are no delusions.
But those who have grasped perceptions and views
wander in the world creating friction.”</t>
  </si>
  <si>
    <t>For one detached from perception, there exist no ties,
for one by wisdom freed, no delusions are there,
but those who have grasped perceptions and views,
they wander the world stirring up strife</t>
  </si>
  <si>
    <t xml:space="preserve">With no perceptions-—which he has relinquished —
fetters he has none.
Delivered as he is by wisdom, no delusions doth he
harbour;
Heresies and perceptions he has curbed, and to the
rest he never clings,
With all clamour being disgusted, over the three
realms he walks about </t>
  </si>
  <si>
    <t>PURĀBEDHA</t>
  </si>
  <si>
    <t>Before Breaking-up: 
Muni’s Qualities</t>
  </si>
  <si>
    <t>kathaṃdassī kathaṃsīlo
upasantoti vuccati
taṃ me gotama pabrūhi
pucchito uttamaṃ naraṃ</t>
  </si>
  <si>
    <t>How seeing and how conducting oneself
is one said to be ‘at peace’?
This do tell me, O Gotama,
being asked about the supreme man</t>
  </si>
  <si>
    <t>“Seeing how, behaving how,
is one said to be at peace?
When asked, Gotama, please tell me
about the ultimate person.”</t>
  </si>
  <si>
    <t>“Seeing how,
behaving how,
is one said to be
at peace?
Gotama, tell me about
—when asked about—
the ultimate person.”</t>
  </si>
  <si>
    <t>“How does he see, how does he behave,
the one who is said to be ‘peaceful’?
When asked by me, O Gotama,
describe the supreme person.”</t>
  </si>
  <si>
    <t>Please Gotama, do you speak to me
upon the person perfected:
how’s their insight and their conduct
so that they can be called “Peaceful One”?</t>
  </si>
  <si>
    <t>With what treasure of good conduct and holding which
view,
Is [a person] called ‘one who has buried suffering’?
I pray Gautama that this He may explain,
Being asked about the right-minded best man in the world".</t>
  </si>
  <si>
    <t>For discussions of how the awakened one cannot be classified even in the present, see MN 72 and SN 22:85–86. and is disjointed from contacts disjoined from it. On this point, see MN 140 and MN 146,</t>
  </si>
  <si>
    <t xml:space="preserve">Muni </t>
  </si>
  <si>
    <t>vītataṇho purā bhedā (iti bhagavā)
pubbamantamanissito
vemajjhe nupasaṅkheyyo
tassa natthi purakkhataṃ</t>
  </si>
  <si>
    <t>With craving gone before the break-up,
not leaning back on the past,
not reckonable in the middle
there is nothing put in front7
 of him.</t>
  </si>
  <si>
    <t>Rid of craving before the breakup,”
said the Buddha,
“not dependent on the past,
unfathomable in the middle, 
they are not governed by anything</t>
  </si>
  <si>
    <t>The Buddha:
“Free from craving
before the break-up
[of the body],
independent
of before
&amp;the end, 1
not classified in between, 2
no preference is his.</t>
  </si>
  <si>
    <t>“Devoid of craving before the breakup,”
(said the Blessed One),
“not dependent on the past,
not to be reckoned in the middle,
for him there are no preferences.</t>
  </si>
  <si>
    <t>One who is craving-free
before the body’s breaking-up,
not dependent on the past
in the present is prepared,
(and in future) has nought preferred.</t>
  </si>
  <si>
    <t>In the past, all hatred he had already abandoned;
In the future," he is attached to cravings none;
In the immediate present, to nothing doth he himself
" betake,
Aloof from vain honour and regard," which be never
himself doth receive.</t>
  </si>
  <si>
    <t xml:space="preserve">10 pali = 15 Chinese
Different stories 
850 different </t>
  </si>
  <si>
    <t>akkodhano asantāsī
avikatthī akukkuco
mantabhāṇī anuddhato
sa ve vācāyato muni</t>
  </si>
  <si>
    <t>Free of anger, not given to fear,
not boastful, free of wrong-doings,
talking considerately, not agitated,
he is a Muni regarding speech.</t>
  </si>
  <si>
    <t>Unangry, unafraid,
not boastful or regretful,
thoughtful in counsel, and stable—
truly that sage is controlled in speech.</t>
  </si>
  <si>
    <t>Un-          angered,
un-          startled,
un-          boastful,
un-          anxious,
giving counsel unruffled,
he is a sage,
his speech
under control.</t>
  </si>
  <si>
    <t>“He is without anger, unafraid,
not boastful, not regretful,
of speaking with reflection, not restless:
he is truly a muni controlled in speech.</t>
  </si>
  <si>
    <t>gone anger and gone fear as well,
gone boasting, gone remorse,
wise-speaker with no arrogance,
a Sage restrained in speech,</t>
  </si>
  <si>
    <t>All fear he has banished, so ‘fearless’ is he.
In the unshakable, he has faith, yeilding no place to
doubt.
Without jealousy in mind, he finds delight in the
company of others;
Whosoever thus behaves likes the life of the ‘Honoured.</t>
  </si>
  <si>
    <t>nirāsatti anāgate
atītaṃ nānusocati
vivekadassī phassesu
diṭṭhīsu ca na nīyati</t>
  </si>
  <si>
    <t>He has no longing for the future,
he does not sorrow over the past.
Seeing how to stay aloof in present contacts
he is not led in among the views.</t>
  </si>
  <si>
    <t>Rid of attachment to the future,
they don’t grieve for the past.
A seer of seclusion in the midst of contacts
is not led astray among views.</t>
  </si>
  <si>
    <t>Free from attachment
with regard to the future,
not sorrowing
over the past,
he sees seclusion
in the midst of sensory contacts.
He can’t be led
in terms of views.4</t>
  </si>
  <si>
    <t>“He is without attachment to the future;
he does not sorrow over the past.
As a seer of seclusion in the midst of contacts,
he is not led astray among views.</t>
  </si>
  <si>
    <t>no hopes for what’s to come,
no mourning for the past,
not led astray by views,
the singled seer “mid senses” touch</t>
  </si>
  <si>
    <t>For thoughts of the future, he has no attachment or
' craving;
For those in the past, too, he is not at all grieved
From relinquishable delicate contacts, he keeps himself
ofi;
False views he has ended, none remaining in the least.</t>
  </si>
  <si>
    <t>patilīno akuhako
apihālu amaccharī
appagabbho ajeguccho
pesuṇeyye ca no yuto</t>
  </si>
  <si>
    <t>Keeping withdrawn, not deceitful,
not envious, not avaricious,
unobtrusive, not repulsive,
he does not engage in slander.</t>
  </si>
  <si>
    <t>Withdrawn, free of deceit,
they’re not envious or stingy,
nor rude or disgusting,
or given to slander.</t>
  </si>
  <si>
    <t xml:space="preserve">
Withdrawn, 
undeceitful, 
not stingy, 
not miserly, 
not insolent, 
inoffensive,
he doesn’t engage in
divisive speech.</t>
  </si>
  <si>
    <t>“Withdrawn, not a schemer,
without longing, not miserly,
courteous, not [morally] repulsive,
not intent on slander.</t>
  </si>
  <si>
    <t>one not concealing, not deceitful,
not hankering and neither mean,
not stuck-up, nor contemptuous,
and not to slander given,</t>
  </si>
  <si>
    <t>A man of retiring habits, he holds no expectations high,
Plenty of wisdom he has acquired and no jealousy doth
he entertain ;
With no evil or ugliness, no improprieties doth he
harbour,
No double-tongue doth he know and gives up all light-
.heartedness and doubt.</t>
  </si>
  <si>
    <t>sātiyesu anassāvī
atimāne ca no yuto
saṇho ca paṭibhānavā
na saddho na virajjati</t>
  </si>
  <si>
    <t>Not attracted to pleasant things,
not given to arrogance,
he is gentle and resourceful,
not going by faith and not trying to get detached.</t>
  </si>
  <si>
    <t>Not swept up in pleasures,
or given to arrogance,
they’re gentle and articulate,
neither hungering nor growing dispassionate.</t>
  </si>
  <si>
    <t>Not drunk on enticements,
nor given to pride,
he’s gentle, quick-witted,
beyond conviction &amp; dispassion.</t>
  </si>
  <si>
    <t>“Not swept up by enjoyments,
and not swollen with arrogance;
gentle, gifted with ingenuity,
not credulous, not growing dispassionate.</t>
  </si>
  <si>
    <t>to pleasures not addicted
and not to pride inclined,
gentle, ready witted, not
credulous and not attached,</t>
  </si>
  <si>
    <t xml:space="preserve">His mind is all released and has attachment none,
Self-pride“ he has abandoned and sweet lies“ he doth
not speak.
With perfect gentleness he acts, and is skilful in quick
repartee,“
And entertains no craving, as all thoughts of craving
he has cut off </t>
  </si>
  <si>
    <t>Beyond conviction &amp; dispassion—The Pali here can also mean, “A person of no conviction, he does not put away passion.” This is an example of the kind of pun occasionally used in Pali poetry for its shock value. Other examples are at Dhp 97 and the end of Sn 4:13. For examples of what is meant by being beyond conviction, see SN 12:68 and SN 48:44. For an explanation of what is meant by being beyond dispassion, see Sn 4:6, note 2. An alternate explanation is that, as Sn 5:6 indicates, the arahant is beyond all dhammas, dispassion included.</t>
  </si>
  <si>
    <t>lābhakamyā na sikkhati
alābhe ca na kuppati
aviruddho ca taṇhāya
rasesu nānugijjhati</t>
  </si>
  <si>
    <t>Out of desire for gains he does not train himself
and does not get upset at not gaining.
He does not get opposed due to craving,
and is not greedy for tastes.</t>
  </si>
  <si>
    <t>They don’t train out of desire for profit,
nor get annoyed at lack of profit.
Not hostile due to craving,
nor greedy for flavors,</t>
  </si>
  <si>
    <t>Not in hopes of material gain
does he take on the training;
when without material gain
he isn’t upset.
Unobstructed  by craving,
he doesn’t through craving6
hunger for flavors.</t>
  </si>
  <si>
    <t>“He does not train from a desire for gain,
nor is he irritated over lack of gain.
Not hostile, because of craving
he does not hanker after tastes.</t>
  </si>
  <si>
    <t>training not in hope of gain,
nor disturbed by getting none,
by cravings unobstructed,
hankering not for tastes,</t>
  </si>
  <si>
    <t>He doth not learn to seek objects of desire that are
pleasant,
Nor, if he gets nothing, doth he ever seem to be grieved.
Anger or hatred he knows notand desire and craving he
“ has abandoned,
Nor is he bound by"any relish for things.</t>
  </si>
  <si>
    <t>upekkhako sadā sato
na loke maññate samaṃ
na visesī na nīceyyo
tassa no santi ussadā</t>
  </si>
  <si>
    <t>Equanimous and ever mindful,
he does not think of anyone as his equal,
nor of himself as superior or inferior—
he has no prominences.</t>
  </si>
  <si>
    <t>they are equanimous, ever mindful.
They never conceive themselves in the world
as equal, special, or less than;
for them there is no pride.</t>
  </si>
  <si>
    <t>Equanimous—always—mindful,
he doesn’t suppose himself
equal,
superior,
inferior,
in the world.
No swellings of pride
are his.</t>
  </si>
  <si>
    <t>“Equanimous, ever mindful,
in the world he does not conceive himself
to be equal, or superior, or inferior:
for him there are no swellings.</t>
  </si>
  <si>
    <t>ever mindful and equanimous,
so, who as “equal” thinks not of themselves,
nor as better nor as worse,
has no of inflation any sense.</t>
  </si>
  <si>
    <t>High doth he not exhalt himself, npr doth he put
himself on level with others;
As against scorn and disrespect that he may meet, he is
always respectful;
While practising reflection, -he dwells with mindfulness
H ' alert.
The good and evil he has seen through, while no further
expectation“ doth he hold.</t>
  </si>
  <si>
    <t>yassa nissayatā natthi
ñatvā dhammaṃ anissito
bhavāya vibhavāya vā
taṇhā yassa na vijjati</t>
  </si>
  <si>
    <t>He for whom there is nothing to depend upon,
having known the nature of things independently,
and for whom neither for being nor for unbeing
there is found any craving-</t>
  </si>
  <si>
    <t>They have no dependencies,
understanding the teaching, they are independent.
No craving is found in them
to continue existence or to end it.</t>
  </si>
  <si>
    <t>Whose dependencies
don’t exist
when, on knowing the Dhamma,
he’s independent;
in whom no craving is found
for becoming or not-:</t>
  </si>
  <si>
    <t>“He has no dependencies —
having known the Dhamma, he is independent.
No craving is found in him
for existence or nonexistence.</t>
  </si>
  <si>
    <t>And for whom there’s no “dependence”,⁸
not dependent, Dharma having known,
for such exists no craving for
existence, non-existence.</t>
  </si>
  <si>
    <t>Reliances he has given up and ‘there is nothing where
Q ' ' his mind dwells,
While over the Dharma he reflects. how can he attach-
" ment have ?
He holds as void the Realm of Desire, or of Form and
that of the Formless too,
But from his wise aim,“ he desires not to be released.</t>
  </si>
  <si>
    <t>10.10.</t>
  </si>
  <si>
    <t>taṃ brūmi upasantoti
kāmesu anapekkhinaṃ
ganthā tassa na vijjanti
atarī so visattikaṃ</t>
  </si>
  <si>
    <t>him I call the peaceful one,
the one without concern for sensual pleasures.
For him there are no knots,
for he has crossed the viscosity.</t>
  </si>
  <si>
    <t>I declare them to be at peace,
unconcerned for sensual pleasures.
No ties are found in them,
they have crossed over clinging.</t>
  </si>
  <si>
    <t>He is said
to be at peace,
un-intent
on sensual pleasures,
with nothing at all
to tie him down:
one who’s crossed over attachment.</t>
  </si>
  <si>
    <t>“I call him ‘peaceful’
who is indifferent to sensual pleasures.
In him no knots are found;
he has crossed over attachment.</t>
  </si>
  <si>
    <t>That one I call the Peaceful,
who no sensual pleasures seeks;
who therefore has no ties,
crossed entanglement.</t>
  </si>
  <si>
    <t xml:space="preserve">The craving has disappeared until it has stopped.
The three planes are to him empty &amp; induce ‘no happy thoughts.
All this kind of release—from what has he obtained? ' Mostly, from his crossing the ocean and passing into
the grieflees state. </t>
  </si>
  <si>
    <t>na tassa puttā pasavo
khettaṃ vatthuñca vijjati
attaṃ vāpi nirattaṃ vā
na tasmiṃ upalabbhati</t>
  </si>
  <si>
    <t>For him neither sons nor cattle
nor fields and land are to be found.
The assumed and the rejected
also these are not to be found in him.</t>
  </si>
  <si>
    <t>They have no sons or cattle,
nor possess fields or lands.
No picking up or putting down 
is to be found in them.</t>
  </si>
  <si>
    <t>He has no
children
cattle,
fields,
land.
In him you can’t pin down
what’s embraced
or rejected.</t>
  </si>
  <si>
    <t>“He has no sons or cattle,
nor does he possess fields or land. 
In him there is nothing to be found
as either taken up or rejected.</t>
  </si>
  <si>
    <t>He does not bring up any sons,
and has no fields or lands;
for him there is nothing at all
that is taken up or put down</t>
  </si>
  <si>
    <t>He doth not pray for the [re-] birth“ of his sons ‘whom he sees prosper,
Nor doth he wish increase in his fields or other treasure;
He comes never to be reborn and goes away never to return.
Objects of desire how can he seek and how can he have?</t>
  </si>
  <si>
    <t>As in Snp 4.3:8.3 this makes better sense considered as an active process.</t>
  </si>
  <si>
    <t>yena naṃ vajjuṃ puthujjanā
atho samaṇabrāhmaṇā
taṃ tassa apurakkhataṃ
tasmā vādesu nejati</t>
  </si>
  <si>
    <t>That by which they might tell him, the common people
or else the recluses and brahmins,
that is not paid attention8
 to by him. 
Therefore he is not shaken by what they say.</t>
  </si>
  <si>
    <t>That by which one might describe
an ordinary person or ascetics and brahmins
has no importance to them,
which is why they’re unaffected by words.</t>
  </si>
  <si>
    <t>He has no preference
for that which people run-of-the-mill
or brahmans &amp;contemplatives
might blame—
which is why
he is unperturbed
with regard to their words.</t>
  </si>
  <si>
    <t>“That by which they might speak of him —
worldlings as well as ascetics and brahmins —
is not esteemed by him;
therefore he is not stirred up by words.</t>
  </si>
  <si>
    <t>on account of which, the people
with monks and Brahmins might accuse.
That one is undisturbed,
and by such words unmoved,</t>
  </si>
  <si>
    <t>That place doth he reach where no words can describe him,
Where no ascetic under training can reach his mind
Let them all seek the place where he is
As a thing to be in touch with. Knowing it to be so,they rush on to it</t>
  </si>
  <si>
    <t>vītagedho amaccharī
na ussesu vadate muni
na samesu na omesu
kappaṃ neti akappiyo</t>
  </si>
  <si>
    <t>Being free of greed and avarice
the Muni does not speak of himself
in terms of superiority, equality or inferiority,
he does not enter into what can be classed, he is not classifiable.</t>
  </si>
  <si>
    <t>Freed of greed, not stingy,
a sage doesn’t speak of themselves as being
among superiors, inferiors, or equals.
One not prone to creation does not return to creation.</t>
  </si>
  <si>
    <t>His greed gone,
not miserly,
the sage
doesn’t speak of himself
as among those who are higher, equal, or lower.
He, theory-free,
goes to no theory.</t>
  </si>
  <si>
    <t>“Devoid of greed, without miserliness,
the muni does not speak [of himself]
as among superiors, or equals, or inferiors.
Not given to mental construction,
he does not enter upon mental constructs.</t>
  </si>
  <si>
    <t>gone greediness and never mean,
not speaking of themselves as “high”
not “equal”, nor “inferior”
so the unfittable does not fit,</t>
  </si>
  <si>
    <t>No jealousy has he nor any greed doth he harbour;
Although to a high position is exhalted, he doth not rejoice in it,
Nor does he rejoice as a middling or low;
The precepts of the Law he doth follow and its violation he doth give up</t>
  </si>
  <si>
    <t>yassa loke sakaṃ natthi
asatā ca na socati
dhammesu ca na gacchati
sa ve santoti vuccatīti</t>
  </si>
  <si>
    <t>He for whom nothing in the world is his own
and who does not grieve at the absence
and does not go around in ideas—
he is truly said to be “at peace”.</t>
  </si>
  <si>
    <t>They who have nothing in the world of their own
do not grieve for that which is not,
or drift among the teachings; 
that’s who is said to be at peace.”</t>
  </si>
  <si>
    <t>For whom
nothing in the world
is his own,
who doesn’t grieve
over what is not,
who doesn’t enter into
doctrines:
He is said
to be
at peace.”</t>
  </si>
  <si>
    <t>“One who takes nothing in the world as his own,
and who does not sorrow over what is absent,
who does not enter upon things:
he is truly said to be ‘peaceful.’ ”</t>
  </si>
  <si>
    <t>for whom is nothing owned in the world
and having nothing does not grieve,
who ’mong Dharmas ventures not
is truly called a Peaceful One!</t>
  </si>
  <si>
    <t>All this world is for him void, as there is nothing which is his own;
When he doth not get anything, he pursues it not [further] ;
He covets not the people, good or bad, in the world;
His mind has ceased, and Perfection ‘has he reached</t>
  </si>
  <si>
    <t>Given the significance of “views” in the Aṭṭhakavagga, and that dhamma is commonly used in the sense of “teaching”, I read this in view of such passages as MN 47:14.3: dhammesu niṭṭhaṁ gacchati “comes to a conclusion about the teachings”.</t>
  </si>
  <si>
    <t>KALAHAVIVĀDA</t>
  </si>
  <si>
    <t>QUARRELS AND DISPUTES</t>
  </si>
  <si>
    <t>kutopahūtā kalahā vivādā
paridevasokā sahamaccharā ca
mānātimānā sahapesuṇā ca
kutopahūtā te tadiṅgha brūhi</t>
  </si>
  <si>
    <t>From where arise quarrels and disputes,
lamentation and sorrow together with avarice,
conceit and arrogance together with slander?
From where are they arisen? Please tell me that.</t>
  </si>
  <si>
    <t>“Where do quarrels and disputes come from?
And lamentation and sorrow, and stinginess?
What of conceit and arrogance, and slander too—
tell me please, where do they come from?”</t>
  </si>
  <si>
    <t>“From where have there arisen
quarrels, disputes,
lamentation, sorrows, along with stinginess,
conceit &amp;pride, along with divisiveness?
From where have they arisen?
Please tell me.”</t>
  </si>
  <si>
    <t>“From where do quarrels and disputes arise,
lamentation, sorrow, and miserliness?
From where do conceit and arrogance arise
along with slander? Please tell me this.”</t>
  </si>
  <si>
    <t>Whence so many arguments, disputes
and sorrow, lamentation, selfishness,
arrogance, pride and slander too?
Whence come all these? Please upon them speak.</t>
  </si>
  <si>
    <t>Quarrels and dispute: from where do they arise,
Along with grief and lamentation and mutual
jealousy as well?
False words and words of slander that are mutually
exchanged-—
From what source do they arise, I hep; of the Buddha
to say.</t>
  </si>
  <si>
    <t>MN 102, DN 21; Ud 2:4</t>
  </si>
  <si>
    <t>piyappahūtā kalahā vivādā
paridevasokā sahamaccharā ca
mānātimānā sahapesuṇā ca
maccherayuttā kalahā vivādā
vivādajātesu ca pesuṇāni</t>
  </si>
  <si>
    <t>From things held dear arise quarrels and disputes,
lamentation and sorrow, together with avarice,
conceit and arrogance, together with slander.
Conjoined with avarice are quarrels and dispute,
and among those engaged in dispute there are slanders.</t>
  </si>
  <si>
    <t>“Quarrels and disputes come from what we hold dear,
as do lamentation and sorrow, stinginess,
conceit and arrogance.
Quarrels and disputes are linked to stinginess,
and when disputes have arisen there is slander.”</t>
  </si>
  <si>
    <t>“From what is dear there have arisen quarrels, disputes,
lamentation, sorrows, along with stinginess,
conceit &amp;pride, along with divisiveness.
Tied up with stinginess are quarrels &amp;disputes.
In the arising of disputes is divisiveness.”</t>
  </si>
  <si>
    <t>“Quarrels and disputes arise from what is pleasing,
as do lamentation, sorrow, and miserliness,
conceit and arrogance along with slander.
Quarrels and disputes are connected with miserliness,
and slanders occur when disputes arise.”</t>
  </si>
  <si>
    <t>Much love of arguments, disputes,
means sorrow, lamentation, selfishness,
with arrogance, pride and slander too.
Inclined to selfishness, arguments, disputes;
quarrels, slander also come to birth.</t>
  </si>
  <si>
    <t>When there are things beloved there arise quarrels
and fights,
Griefs and lamentations as well as jealousies that are
mutual,
Words of slander that are exchanged and words that
are false.
[So] from mutual slander do originate quarrels and
disputes.”</t>
  </si>
  <si>
    <t>piyā su lokasmiṁ kutonidānā
ye vāpi lobhā vicaranti loke
āsā ca niṭṭhā ca kutonidānā
ye samparāyāya narassa honti</t>
  </si>
  <si>
    <t>Originated from what are things held dear in the world,
and whatever greeds roam over the world?
Originated from what are hopes and aims
which shape a man’s future destiny?</t>
  </si>
  <si>
    <t>So where do what we hold dear in the world spring from?
And the lusts that are loose in the world?
Where spring the hopes and aims
a man has for the next life?”</t>
  </si>
  <si>
    <t>“Where is the cause
of things dear in the world,
along with the greeds that go about in the world?
And where is the cause
of the hopes &amp;aims
for the sake of a person’s next life?”</t>
  </si>
  <si>
    <t>“From what do pleasing things in the world originate,
and those states of greed that spread through the world?
From what do longing and fulfillment originate,
which a person has about the future?”</t>
  </si>
  <si>
    <t>From what causes in the world there’s dearness, love,
these various greeds that wander in the world,
from these causes, hopes and their ends as well,
these bring about a human being’s future.</t>
  </si>
  <si>
    <t>Things beloved-—what are they due to?
So also greeds that in the world strut about?
By the stopping of what [things], will expectations
be no more,‘
So that, to the worldly life, there will be no more
' return?”</t>
  </si>
  <si>
    <t>chandānidānāni piyāni loke
ye cāpi lobhā vicaranti loke
āsā ca niṭṭhā ca itonidānā
ye samparāyāya narassa honti</t>
  </si>
  <si>
    <t>Originated from desire are hopes and aims,
and whatever greeds roam over the world.
Originated from this are hopes and aims
which shape a man’s future destiny.</t>
  </si>
  <si>
    <t>“What we hold dear in the world spring from desire,
as do the lusts that are loose in the world.
From there spring the hopes and aims
a man has for the next life.”</t>
  </si>
  <si>
    <t>“Desires are the cause
of things dear in the world,
along with the greeds that go about in the world.
And here too is the cause
of the hopes &amp;aims
for the sake of a person’s next life.”</t>
  </si>
  <si>
    <t>“Pleasing things in the world originate from desire,
as do those states of greed that spread through the world.
From this originate the longing and fulfillment
that a person has about the future.”</t>
  </si>
  <si>
    <t>From desires in the world as causes of the dear,
these various greeds that wander in the world,
from these causes, hopes and their ends as well,
these bring about a human being’s future.</t>
  </si>
  <si>
    <t>These dear ones exist because of passionate longing,
Favouring the springing up of suffering in this world,
The perfection‘ of expectations doth arise from them,
And hence are returns to the lives here-after.”</t>
  </si>
  <si>
    <t>chando nu lokasmiṁ kutonidāno
vinicchayā vāpi kutopahūtā
kodho mosavajjañca kathaṁkathā ca
ye vāpi dhammā samaṇena vuttā</t>
  </si>
  <si>
    <t>Originated from what is desire in the world?
Evaluations also, from where have they arisen?
Anger, falsehood and doubt, of these too [I ask],
as well as the teachings proclaimed by the Samaṇa.</t>
  </si>
  <si>
    <t>“So where does desire in the world spring from?
And judgments, too, where do they come from?
And anger, lies, and doubt,
and other things spoken of by the Ascetic?”</t>
  </si>
  <si>
    <t>“Now where is thecause
of desire in the world?
And from where have there arisen decisions, anger, lies, &amp;perplexity,
and all the qualities described by the Contemplative?”</t>
  </si>
  <si>
    <t>“From what in the world does desire originate?
And from what do judgments too arise,
and anger, false speech, and perplexity,
and those [other] things the Ascetic has mentioned?”</t>
  </si>
  <si>
    <t>From what causes in the world is there desire,
and much deliberation on this—whence it comes?
And anger too, false-speaking, also doubtfulness,
and dharmas such as these by the Samaṇa declared</t>
  </si>
  <si>
    <t>Pursuit of worldly longings--wherein does it rise?
From what do you get the discrimination of good
from evil?
What is it that exists from which we have appearance
and disappearance?
How is one restrained by the rules that the Ascetio
‘ has proclaimed? ”</t>
  </si>
  <si>
    <t>sātaṁ asātanti yamāhu loke
tamūpanissāya pahoti chando
rūpesu disvā vibhavaṁ bhavañca
vinicchayaṁ kubbati jantu loke</t>
  </si>
  <si>
    <t>“The pleasant and the unpleasant”—as they say in the world,
in dependence upon these desire arises.
Seeing increase and decrease in things
a person makes evaluation in the world.</t>
  </si>
  <si>
    <t>“What they call pleasure and pain in the world—
based on that, desire comes about.
Seeing the appearance and disappearance of forms,
a person forms judgments in the world.</t>
  </si>
  <si>
    <t>“What they call ‘appealing’ &amp; ‘unappealing’ in the world:
In dependence on that, desire arises.
Having seen becoming &amp;not-
with regard to forms,
a person gives rise to decisions in the world;</t>
  </si>
  <si>
    <t>“Desire originates based on what they say
is ‘pleasant’ or ‘unpleasant’ in the world.
Having seen the vanishing and coming-to-be of forms,
a person forms a judgment in the world.</t>
  </si>
  <si>
    <t>“It’s pleasant, unpleasant”, so in the world they say
and depending on these arises desire,
but having seen forms, their arising and decay,
then a person in this world certainly deliberates.</t>
  </si>
  <si>
    <t>Whatever is pleasant“ or unpleasant in this
world——-
Because of this there arises the pursuit of longings.
Seeing how things in the world flourish and decay,
The man of the world begins to have his discrimina-tions all.</t>
  </si>
  <si>
    <t>kodho mosavajjañca kathaṁkathā ca
etepi dhammā dvayameva sante
kathaṁkathī ñāṇapathāya sikkhe
ñatvā pavuttā samaṇena dhammā</t>
  </si>
  <si>
    <t>Anger, falsehood and doubt
these things too are when there is a duality.
A doubter should train in the path to knowledge,
through knowledge the teachings have been proclaimed by the Samaṇa.</t>
  </si>
  <si>
    <t>Anger, lies, and doubt—
these things are, too, when that pair is present. 
One who has doubts should train in the path of knowledge;
it is from knowledge that the Ascetic speaks of these things.”</t>
  </si>
  <si>
    <t>anger, lies, &amp;perplexity:
these qualities, too,
when there exists that very pair.
A person perplexed should train for the path of knowledge,
for it’s in having known
that the Contemplative has spoken of qualities/dhammas.”</t>
  </si>
  <si>
    <t>“Anger, false speech, and perplexity:
these things, too, arise when that dyad exists.
One perplexed should train on the path of knowledge;
having known, the Ascetic stated these things.”</t>
  </si>
  <si>
    <t>With anger, false-speaking, also doubtfulness,
and all such dharmas, this quality exists.
The doubting person
in the knowledge-path should train
for the Samaṇa has declared dharmas
after having Known.</t>
  </si>
  <si>
    <t>Falsehood] that is produced from fraud . and
questioning mind-These their appearance make, when this pair [of the
pleasant and unpleasant] exists;
The questioner may learn of Wisdom’s Path,
Wishing to understand the Law by the Enlightened
One taught.</t>
  </si>
  <si>
    <t>sātaṁ asātañca kutonidānā
kismiṁ asante na bhavanti hete
vibhavaṁ bhavañcāpi yametamatthaṁ
etaṁ me pabrūhi yatonidānaṁ</t>
  </si>
  <si>
    <t>The pleasant and the unpleasant have their origin where?
When what is not, do they not come to be?
And ‘increase and decrease’—the matter so called,
tell me that too, from where it originates.</t>
  </si>
  <si>
    <t>“Where do pleasure and pain spring from?
When what is absent do these things not occur?
And also, on the topic of appearance and disappearance—
tell me where they spring from.”</t>
  </si>
  <si>
    <t>“Where is the cause
of appealing &amp;un-?
When what isn’t
do they not exist?
And whatever is meant
by becoming &amp;not- :
Tell me,
Where is their cause?”</t>
  </si>
  <si>
    <t>“From what do the pleasant and unpleasant originate?
When what does not exist do these not come to be?
As to this matter of vanishing and coming-to-be,
tell me from what it originates.”</t>
  </si>
  <si>
    <t>The pleasant, the unpleasant, originate from what?
In the absence of what do these cease to be?
That which is being,¹¹ non-being as well,
what their origination, do tell me of this?</t>
  </si>
  <si>
    <t>The pleasant and unpleasant—from what do they
arise?
How will they disappear, of their supporters being
bereaved?
Their appearance and disappearance, which are the
highest matter,
I beg of you to make me understand their fountain-source</t>
  </si>
  <si>
    <t xml:space="preserve">Meditation </t>
  </si>
  <si>
    <t>phassanidānaṁ sātaṁ asātaṁ
phasse asante na bhavanti hete
vibhavaṁ bhavañcāpi yametamatthaṁ
etaṁ te pabrūmi itonidānaṁ</t>
  </si>
  <si>
    <t>Originated from contact there are the pleasant and unpleasant.
When contact is not, these do not come to be.
And ‘increase and decrease’—the matter so called,
I tell you that too: it originates from this.</t>
  </si>
  <si>
    <t>“Pleasure and pain spring from contact;
when contact is absent they do not occur.
And on the topic of appearance and disappearance—
I tell you they spring from there.”</t>
  </si>
  <si>
    <t>“Contact is the cause
of appealing &amp;un-.
When contact isn’t,
they do not exist,
along with what’s meant
by becoming &amp;not- :
I tell you,
from here is their cause.”</t>
  </si>
  <si>
    <t>“The pleasant and unpleasant originate from contact;
when contact does not exist, these do not come to be. 
As to this matter of vanishing and coming-to-be,
I tell you that it originates from this.”</t>
  </si>
  <si>
    <t>“Touch”, the origination of pleasant, unpleasant,
“Touch” being absent these cease to be.
That which is being, non-being as well,
its origin’s thus, I tell you of this.</t>
  </si>
  <si>
    <t>The pleasant and the unpleasant are to contacts due;
Away, they pass and vanish, if contact does not exist.
Their appearance‘ and disappearance are a
matter due to this;
Understand thus the Sage, who their appearance and
disappearance did explain.”</t>
  </si>
  <si>
    <t>11.10.</t>
  </si>
  <si>
    <t>phasso nu lokasmiṁ kutonidāno
pariggahā cāpi kutopahūtā
kismiṁ asante na mamattamatthi
kismiṁ vibhūte na phusanti phassā</t>
  </si>
  <si>
    <t>Contact in the world has its origin where?
And also possessions, from where do they arise?
When what is not, is there no ‘mineness’?
When what has disappeared, do contacts not contact?</t>
  </si>
  <si>
    <t>“So where does contact in the world spring from?
And possessions, too, where do they come from?
When what is absent is there no possessiveness?
When what disappears do contacts not strike?”</t>
  </si>
  <si>
    <t>“Now where is the cause
of contact in the world,
and from where have graspings,
possessions, arisen?
When what isn’t
does there not exist mine-ness?
When what has disappeared
do contacts not touch?”</t>
  </si>
  <si>
    <t>“From what in the world does contact originate?
From what do possessions too arise?
When what does not exist is there no taking as ‘mine’?
When what has vanished do contacts not touch one?”</t>
  </si>
  <si>
    <t>From what causes in the world does touch come to be
And whence does possessiveness also arise?
in the absence of what is “mine” making not?
When what exists not are no “touches” touched?</t>
  </si>
  <si>
    <t>The contacts in the wor1d——what arc they due to?
The graspings of worldly objects-—how do they arise?
From what we may expect ‘my-ness’ to be discounted?
From what is it that there are graspings of the
objects of the world?”</t>
  </si>
  <si>
    <t>nāmañca rūpañca paṭicca phasso
icchānidānāni pariggahāni
icchāyasantyā na mamattamatthi
rūpe vibhūte na phusanti phassā</t>
  </si>
  <si>
    <t>Dependent on name and matter there is contact.
Possessions have their origin in wanting.
When wanting is not, there is no ‘mineness’.
When matter has disappeared, contacts do not contact.</t>
  </si>
  <si>
    <t>“Name and form cause contact;
possessions spring from wishing;
when wishing is absent there is no possessiveness;
when form disappears, contacts don’t strike.”</t>
  </si>
  <si>
    <t>“Conditioned by name-&amp;-form
is contact.
In longing do graspings,
possessions have their cause.
When longing isn’t,
mine-ness doesn’t exist.
When forms have disappeared
contacts don’t touch.”</t>
  </si>
  <si>
    <t>“Contacts are dependent upon name and form;
possessions are based on desire.
When desire does not exist, there is no taking as ‘mine.’
When form has vanished, contacts do not touch one.”</t>
  </si>
  <si>
    <t>“Touches” depend upon mind, upon form,
possessiveness caused by longing repeated,
when longing’s not found, possessiveness’s gone,
When form is no longer, no “touches” are “touched”.</t>
  </si>
  <si>
    <t>Because of Name and Form do the contacts arise.
Because of the pleasant, do the [wordly] objects take
rise;
Leaving ignorance behind, is deliverance (from ‘my-ness’) gained,
when [worldly] objects exist, do the contacts assail.”</t>
  </si>
  <si>
    <t>kathaṁ sametassa vibhoti rūpaṁ
sukhaṁ dukhañcāpi kathaṁ vibhoti
etaṁ me pabrūhi yathā vibhoti
taṁ jāniyāmāti me mano ahu</t>
  </si>
  <si>
    <t>For one endowed in what manner does matter disappear?
Ease and unease, how do they disappear?
Tell me that: how it all disappears
“we would like to know that”—the thought came to me.</t>
  </si>
  <si>
    <t>“How to proceed so that form disappears?
And how do happiness and suffering disappear?
Tell me how they disappear;
I think we ought to know these things.”</t>
  </si>
  <si>
    <t>“For one how-arriving
does form disappear?
How do pleasure &amp;pain disappear?
Tell me this.
My heart is set
on knowing how
they disappear.”</t>
  </si>
  <si>
    <t>“How must one attain for form to vanish?
How do pleasure and pain also vanish?
Please tell me this, how they vanish.
We would like to know that — such is my thought.”</t>
  </si>
  <si>
    <t>For one in what state does form cease to be,
how bliss and dukkha come to cease as well,
please do you tell me how these come to cease?
For this we would know—such is my intent.</t>
  </si>
  <si>
    <t>By the attainment of what does the good form cease?
WVhat is the source of all lovable things?
The mind attached—how does it completely cease?
Truly, methinks, to me, you [fain] would tell.”</t>
  </si>
  <si>
    <t>na saññasaññī na visaññasaññī
nopi asaññī na vibhūtasaññī
evaṁ sametassa vibhoti rūpaṁ
saññānidānā hi papañcasaṅkhā</t>
  </si>
  <si>
    <t>Not perceiving perception, not perceiving an abnormal perception,
not non-perceiving, not perceiving the disappeared.
For one endowed in this manner, matter disappears,
for tied up with perception is expanse and name.</t>
  </si>
  <si>
    <t xml:space="preserve">"Without normal perception or distorted perception; not lacking perception, nor perceiving what has disappeared. 
That’s how to proceed so that form disappears:
for concepts of identity due to proliferation spring from perception.” </t>
  </si>
  <si>
    <t>“One not percipient of perceptions,
not percipient of aberrant perceptions,
not unpercipient,
nor percipient of what’s disappeared:
For one thus-arriving,
form disappears—
for objectification-classifications
have their cause in perception.”</t>
  </si>
  <si>
    <t>“Not percipient through perception,
not percipient through disturbed perception,
not altogether without perception,
not percipient of what has vanished:
form vanishes for one who has so attained,
for concepts due to proliferation are based on perception.”</t>
  </si>
  <si>
    <t>Neither one of normal perception nor yet abnormal,
neither unperceiving no cessation of perception,
but form ceases for one who (has known) it thus:
Conceptual proliferation has perception as its cause.</t>
  </si>
  <si>
    <t>Neither conscious,“ nor with consciousness of the
formless,
Neither unconscious, nor with consciousness inactive“.
Cutting off all consciousness, detached doth one get,
For, in consciousness lies the root of all that is
travail."</t>
  </si>
  <si>
    <t xml:space="preserve"> In MN 18, we have the sequence perception, thought, proliferation, then papañcasaññāsaṅkhā. This suggests that papañca causes saṅkhā, as per Bodhi.</t>
  </si>
  <si>
    <t>yaṁ taṁ apucchimha akittayī no
aññaṁ taṁ pucchāma tadiṅgha brūhi
ettāvataggaṁ nu vadanti heke
yakkhassa suddhiṁ idha paṇḍitāse
udāhu aññampi vadanti etto</t>
  </si>
  <si>
    <t>That which we asked you, you have made clear.
We ask you another thing, please tell us that.
Is it to that extent that some wise men here
speak of the purity of the spirit?
Or do they speak of something other than this?</t>
  </si>
  <si>
    <t>“Whatever I asked you have explained to me. 
It is, however, implied in the surmounting of 3rd jhāna.
I ask you once more, please tell me this:
Do some astute folk here say that this is the extent
of purification of the spirit?
Or do they say it is something else?”</t>
  </si>
  <si>
    <t>“What we have asked,
you’ve expounded to us.
We ask one thing more.
Please tell it.
Do some of the wise
say that just this much is the utmost,
that purity of spirit is here?
Or do they say
that it’s other than this?”</t>
  </si>
  <si>
    <t>“You explained to us whatever we asked you.
Let us now ask something else: please tell me this. 
Do some wise men here say that at this point
this is the foremost purity of the spirit,
or do they speak of it as different from this?”</t>
  </si>
  <si>
    <t>Whatever we’ve asked of you, to us you’ve explained,
another query we’d ask, please speak upon this,
those reckoned as wise here, do they say that
“purity of soul is just for this (life)”
or do some of them state there’s another beyond?</t>
  </si>
  <si>
    <t>“Whatever I have asked, all that ye have explained;
Further, I question and answer do I crave.
Treating all [wordly things] as nothing but saliva, and reaching the acme of success,
Is he firmly settled or not as_a Victorious Saint?</t>
  </si>
  <si>
    <t>Such as the Buddha’s former teachers, who aimed at rebirth in formless realms. See AN 10.29:20.1.</t>
  </si>
  <si>
    <t>ettāvataggampi vadanti heke
yakkhassa suddhiṁ idha paṇḍitāse
tesaṁ paneke samayaṁ vadanti
anupādisese kusalā vadānā</t>
  </si>
  <si>
    <t>To that extent too some wise men here
speak of the purity of the spirit.
But then some others speak of an annihilation,
speaking like masters on the ‘without remainder’.</t>
  </si>
  <si>
    <t>“Some astute folk do say that this is the highest extent of purification of the spirit.
But some of them, claiming to be experts, .
speak of a time when nothing remains.</t>
  </si>
  <si>
    <t>“Some of the wise
say that just this much is the utmost,
that purity of spirit is here.
But some of them,
who say they are skilled,
say it’s the moment
with no clinging remaining.</t>
  </si>
  <si>
    <t>“Some wise men here say that at this point
this is the foremost purity of the spirit.
But some among them, claiming to be skilled,
speak of an attainment without residue remaining.</t>
  </si>
  <si>
    <t>Here some reckoned as wise do certainly say:
“Purity of soul is just for this life”;
but others who claim to be clever aver
that there is an occasion
for what has nothing leftover.</t>
  </si>
  <si>
    <t xml:space="preserve">Rightly set is he! wrong how can he be-P
Hallowed doth he become, and Wisdom’s Fruit doth
he Kain-Practising the trance in the midst of the grove,
The Saint doth declare, as best, [the Nirvana)
with substratum none </t>
  </si>
  <si>
    <t>How to distinguish this from the Buddha’s teaching? If, following Bodhi, we read samaya as “attainment”, we must add in an extra layer of interpretation. If we follow Norman in accepting the (more common) sense of “time, occasion”, then the difference becomes clear: they believe that the end of things happens at some point in the future (probably at death), rather than the Buddha who spoke of realizing the truth now</t>
  </si>
  <si>
    <t>ete ca ñatvā upanissitāti
ñatvā munī nissaye so vimaṁsī
ñatvā vimutto na vivādameti
bhavābhavāya na sameti dhīroti</t>
  </si>
  <si>
    <t>Having known these as “they are dependent”
the Muni knowingly investigates into the dependency.
Knowingly, he is freed and does not enter into dispute.
The wise one does not intend for existence or non-existence.</t>
  </si>
  <si>
    <t>Knowing that these states are dependent,
and knowing what they depend on, the inquiring sage,
having understood, is freed, and does not dispute.
The wise do not go on into life after life.”</t>
  </si>
  <si>
    <t>But knowing,
‘Having known, they still are dependent,’
the sage ponders dependencies.
On knowing them, released,
he doesn’t get into disputes,
doesn’t meet with becoming &amp;not-
: He’s enlightened.”</t>
  </si>
  <si>
    <t>“Having known these to be ‘dependent,’
and having known the dependencies, the muni, the investigator,
having known, liberated, does not enter disputes;
the wise one does not come upon various states of existence.”</t>
  </si>
  <si>
    <t>And Knowing that these are dependent on views,
having Known their dependence, the investigative Sage
since Liberated Knows, so no longer disputes,
the wise one goes not from being to being.</t>
  </si>
  <si>
    <t>With knowledge like this and in concentration steeped,
From rites and rituals, is the saint already detached;
With querries that he makes, through the world doth
he wade,
All worldly lives he cuts oil and remains with his body
(immaculate).”</t>
  </si>
  <si>
    <t>CŪḶAVIYŪHA</t>
  </si>
  <si>
    <t xml:space="preserve">Minor Array for Battle </t>
  </si>
  <si>
    <t>sakaṃsakaṃdiṭṭhiparibbasānā
viggayha nānā kusalā vadanti
yo evaṃ jānāti sa vedi dhammaṃ
idaṃ paṭikkosamakevalī so</t>
  </si>
  <si>
    <t>Each abiding by his own view,
quarrelling the skillful say different things:
“He who knows thus has understood the teaching,
rejecting this one is imperfect.”</t>
  </si>
  <si>
    <t>“Each maintaining their own view,
the experts disagree, arguing:
‘Whoever sees it this way has understood the teaching;
those who reject this are inadequate.’</t>
  </si>
  <si>
    <t>“Dwelling on their own views,
quarreling,
different skilled people say:
‘Whoever knows this, understands Dhamma.
Whoever rejects this, is
imperfect.’</t>
  </si>
  <si>
    <t>“Settled each in his own view,
contending, the skilled make diverse assertions:
‘One who knows this has understood the Dhamma;
rejecting this, one is not consummate.’</t>
  </si>
  <si>
    <t>Each attached to their own views,
They dispute, and the experts say,
“Whoever knows this understands the Dhamma,
Whoever rejects it is imprefect.”</t>
  </si>
  <si>
    <t>Each one thinks that he also knows, and'
Victory to score, wisely doth he say :
Able to know this Law full well, “ Round I go and seek knowledge, no narrow</t>
  </si>
  <si>
    <t>Chinese diff</t>
  </si>
  <si>
    <t>evampi viggayha vivādayanti
bālo paro akkusaloti cāhu
sacco nu vādo katamo imesaṃ
sabbeva hīme kusalā vadānā</t>
  </si>
  <si>
    <t>Thus quarrelling, they dispute
and they say “the other is an unskillful fool”.
The true speech is which one among them,
for all these are claiming to be skillful?</t>
  </si>
  <si>
    <t>So arguing, they quarrel,
saying, ‘The other is a fool, an amateur!’
Which one of these speaks true,
for they all claim to be an expert?”</t>
  </si>
  <si>
    <t>Thus quarreling, they dispute:
‘My opponent’s a fool &amp;unskilled.’
Which of these statements is true
when all of them say they are skilled?”</t>
  </si>
  <si>
    <t>“Having contended thus, they dispute
and say: ‘The opponent is a fool, unskilled.’
Which assertion among these is truthful,
for they all claim to be skilled?”</t>
  </si>
  <si>
    <t>Arguing like this, they disagree, saying
“My opponent is a fool, and is no expert”
Which of these doctrines is the truth,
Since all of them say they are experts?</t>
  </si>
  <si>
    <t>Following this course, [hot words] do the [heretics]
exchange,
Hold others as fools and themselves passing wise. -
Of boastssuch as these, which, as truthful, do ye claim?
Great experts, themselves,][surely] all do they claim to be!</t>
  </si>
  <si>
    <t>parassa ce dhammamanānujānaṃ
bālomako hoti nihīnapañño
sabbeva bālā sunihīnapaññā
sabbevime diṭṭhiparibbasānā</t>
  </si>
  <si>
    <t>If by not approving another’s teaching
one is a stupid fool inferior in intelligence,
then all are fools of very inferior intelligence
for all of these are abiding by views.</t>
  </si>
  <si>
    <t>“If not accepting another’s teaching
makes you a useless fool lacking wisdom, 
then they’re all fools lacking wisdom,
for they all maintain their own view.</t>
  </si>
  <si>
    <t>“If, in not accepting
an opponent’s doctrine,
one’s a fool, a beast of inferior discernment,
then all are fools of inferior discernment—
all of these
who dwell on their views.</t>
  </si>
  <si>
    <t>“If one who does not affirm the opponent’s doctrine
is thereby a fool, a brute, deficient in wisdom,
all indeed are fools, utterly deficient in wisdom:
for all these are settled in their views.</t>
  </si>
  <si>
    <t>If by not accepting another’s teaching
One became a fool of debased wisdom
Then, honestly, all are fools of debased wisdom,
Since all are attached to views.</t>
  </si>
  <si>
    <t>They not knowing whether others are, in Law,
established or not,
Render themselves ignorant fools, led by the cunning of
others.
Thus, in darkness do they toil, from cleverness apart;
The heresies [diverse],,do they harbour [in their heart],</t>
  </si>
  <si>
    <t>sandiṭṭhiyā ceva na vīvadātā
saṃsuddhapaññā kusalā mutīmā
na tesaṃ koci parihīnapañño
diṭṭhī hi tesampi tathā samattā</t>
  </si>
  <si>
    <t>But if by their own view they are cleansed,
purified in wisdom, skillful and thoughtful,
then none of them is lacking in wisdom,
for that is the way their view has been assumed.</t>
  </si>
  <si>
    <t>But if having your own view is what makes you pristine—
pure in wisdom, expert and intelligent—
then none of them lack wisdom,
for such is the view they have all embraced.</t>
  </si>
  <si>
    <t>But if, in siding with a view,
one’s cleansed,
with discernment made pure,
sensible, skilled,
then none of them
are of inferior discernment,
for all of them
have their own views.</t>
  </si>
  <si>
    <t>“But if by their own view they are cleansed,
pure in wisdom, skilled, intelligent,
there is none among them defective in wisdom,
for their views are similarly taken up.</t>
  </si>
  <si>
    <t>But if people are washed by their own views,
With pure wisdom, experts, thoughtful,
Then none of them has debased wisdom,
For their views are perfect.</t>
  </si>
  <si>
    <t>With heresies of old, do they act and say
That wise, as well as pure, and mindful are they;
Of them, none expects to be of wisdom deprived,
For, such are they all to heresies consigned.</t>
  </si>
  <si>
    <t>na vāhametaṃ tathiyanti brūmi
yamāhu bālā mithu aññamaññaṃ
sakaṃ sakaṃ diṭṭhimakaṃsu saccaṃ
tasmā hi bāloti paraṃ dahanti</t>
  </si>
  <si>
    <t>I do not say that it is true
what fools say mutually about each other.
They have each made their own view to be true;
therefore they hold another to be “a fool”.</t>
  </si>
  <si>
    <t>I do not say that it is correct
when they call each other fools.
Each has built up their own view to be the truth, 
which is why they take the other as a fool.”</t>
  </si>
  <si>
    <t>I don’t say, ‘That’s how it is,’
the way fools tell one another.
They each make out their views to be true
and so regard their opponents as fools.”</t>
  </si>
  <si>
    <t>“I do not say, ‘This is correct,’
as the fools in pairs say to one another.
They all take their own view to be true;
therefore they consider the opponent a fool.”</t>
  </si>
  <si>
    <t>I don’t say, “This is how it is”,
Like the fools who oppose each other.
Each of them makes out that their view is the truth,
So they treat their opponent as a fool.</t>
  </si>
  <si>
    <t>All this, above, as truth do I not accept-This, which the fools say, of mutual concern.
Their own views, alone, as truthful do they claim,
And thhse of others, as foolish, are they [sure to]
declaim</t>
  </si>
  <si>
    <t>Sujato think “this is correct” refers, not to the assertion of a view, but to the assertion that the other is a fool. Niddesa takes it to mean the assertion of one of the 62 views, but this seems to be reading into the text. It might mean that the Buddha does not make dogmatic assertions; but on the face of it, the Buddha is constantly saying that his teaching is correct. It is the four noble truths, after all</t>
  </si>
  <si>
    <t>yamāhu saccaṃ tathiyanti eke
tamāhu aññe tucchaṃ musāti
evampi viggayha vivādayanti
kasmā na ekaṃ samaṇā vadanti</t>
  </si>
  <si>
    <t>What some call “true and real”,
of that others say “empty and false”—
in this way too they quarrel and dispute;
why do recluses not say one thing?</t>
  </si>
  <si>
    <t>“What some say is true and correct,
others say is hollow and false.
So arguing, they quarrel;
why don’t ascetics say the same thing?”</t>
  </si>
  <si>
    <t>“What some say is true
—’That’s how it is’—
others say is ‘falsehood, a lie.’
Thus quarreling, they dispute.
Why can’t contemplatives
say one thing &amp;the same?”</t>
  </si>
  <si>
    <t>“That which some say is ‘true, correct,’
others say is ‘hollow, false.’
Having contended thus, they dispute.
Why don’t ascetics speak in unison?”</t>
  </si>
  <si>
    <t>What some say is the truth,
Others say is false.
So they argue, disagreeing;
Why don’t the ascetics teach one truth?</t>
  </si>
  <si>
    <t>Their Law that they declare as surpassing and unequalled
Is nothing but empty, which greedy heretics come to
-steal.
Having entered’ darkness, they go on rolling into the
same.
Why do not these asceticsdeclare one and one Truth (lit. Path:)alone?</t>
  </si>
  <si>
    <t>ekaṃ hi saccaṃ na dutīyamatthi
yasmiṃ pajā no vivade pajānaṃ
nānā te saccāni sayaṃ thunanti
tasmā na ekaṃ samaṇā vadanti</t>
  </si>
  <si>
    <t>One is the truth, there is no second,
about which people who understand should not quarrel.
Different are the truths they praise each for himself.
Therefore recluses do not say one thing.</t>
  </si>
  <si>
    <t>“The truth is one, there is no second;
wise folk would not argue about this. With these lines the Buddha dismisses subjectivist notions of truth.
But those ascetics each boast of different truths;
that’s why they don’t say the same thing.”</t>
  </si>
  <si>
    <t>“The truth is one,
there is no second
about which a person who knows it
would argue with one who knows.
Contemplatives promote
their various own truths,
that’s why they don’t say
one thing &amp;the same.”</t>
  </si>
  <si>
    <t>“Truth, indeed, is one — there is no second;
a person who understands this would not dispute.
These proclaim their own diverse truths;
therefore ascetics do not speak in unison.”</t>
  </si>
  <si>
    <t>Indeed the truth is one, there’s not another,
about this the One who Knows
does not dispute with another,
but the Samaṇas proclaim their varied “truths”
and so they speak not in the same way.</t>
  </si>
  <si>
    <t>There is one Truth perfect ( i ). having none
- - I as second ;
Knowing this Truth, the people would not pervert
Truths diverse, as they please, they [always] proclaim;
That is why the ascetics never do one Truth declare.</t>
  </si>
  <si>
    <t>see MN 22 and AN 10:93, Snp 4.8</t>
  </si>
  <si>
    <t>kasmā nu saccāni vadanti nānā
pavādiyāse kusalā vadānā
saccāni sū tāni bahūni nānā
udāhu te takkamanussaranti</t>
  </si>
  <si>
    <t>Why do they proclaim different truths
loud-voicedly proclaiming to be skillful?
Are there truly many different truths,
or are they going by their own thinking?</t>
  </si>
  <si>
    <t>“But why do they speak of different truths,
these proponents who claim to be experts?
Are there really so many different truths, 
or do they just follow their own lines of reasoning?”</t>
  </si>
  <si>
    <t>“But why do they say
various truths,
those who say they are skilled?
Have they learned many various truths
or do they follow conjecture?”</t>
  </si>
  <si>
    <t>“But why do they assert diverse truths,
those proponents who claim to be skilled?
Are those truths actually many and diverse,
or do they follow a line of reasoning?”</t>
  </si>
  <si>
    <t>Why do they speak such varied truths,
these so-called experts disputatious—
Are there really many and various truths
Or do they just rehearse their logic?</t>
  </si>
  <si>
    <t>What truth is it which others [can] not say,
Which, with faith, will they all declare?
The various other truths, from where have they [heard] 
From where do the speculations of theirs arise?</t>
  </si>
  <si>
    <t>na heva saccāni bahūni nānā
aññatra saññāya niccāni loke
takkañca diṭṭhīsu pakappayitvā
saccaṃ musāti dvayadhammamāhu</t>
  </si>
  <si>
    <t>The many different truths are not indeed permanent,
except by being taken so in the world.
Forming thoughts about the views
they speak in terms of the duality “true and false”.</t>
  </si>
  <si>
    <t>“No, there are not many different truths
that, apart from perception, are lasting in the world. 
Having formed their reasoning regarding different views,
they say there are two things: true and false.</t>
  </si>
  <si>
    <t>“Apart from their perception
there are no
many
various
constant truths
in the world.
Theorizing conjectures
with regard to views,
they speak of a pair: true&amp;false.</t>
  </si>
  <si>
    <t>“Truths surely are not many and diverse,
except by [mistakenly] perceiving permanent things in the world.
But having formulated reasoning about views,
they assert the dyad ‘true’ and ‘false.’</t>
  </si>
  <si>
    <t>Indeed, there are not many and varied truths
differing from perception of the ever-true in the world;
but they work upon their views with logic:
“Truth! Falsehood!” So they speak in dualities.</t>
  </si>
  <si>
    <t>Truth with counterpart none,
why do they say as many?
Due to various conceptions it is classified and distinguished.
To what their eyes have seen do they apply their fancy,
And thus results the duality of ‘truth “ and falsehood’.</t>
  </si>
  <si>
    <t>Sujato think the allusion is, rather, to the idea of dhammaniyāmatā, the “ﬁxity” or “regularity” of the Dhamma as an “eternal truth”.</t>
  </si>
  <si>
    <t>12.10.</t>
  </si>
  <si>
    <t>diṭṭhe sute sīlavate mute vā
ete ca nissāya vimānadassī
vinicchaye ṭhatvā pahassamāno
bālo paro akkusaloti cāha</t>
  </si>
  <si>
    <t>The seen, the heard, the thought or virtue and practice,
dependent upon these he shows contempt.
Standing on judgement he laughs
and says: “The other is an unskillful fool!”</t>
  </si>
  <si>
    <t>The seen, heard, or thought, or precepts or vows
based on these they show disdain.
Standing in judgment, they scoff,
saying, ‘The other is a fool, an amateur!’</t>
  </si>
  <si>
    <t>Dependent on what’s seen,
heard,
&amp;sensed,
dependent on habits &amp;practices,
one shows disdain [for others].
Taking a stance on his decisions,
praising himself, he says,
‘My opponent’s a fool &amp;unskilled.’</t>
  </si>
  <si>
    <t>“The seen, heard, good behavior and observances,
the sensed — dependent on these, he shows disdain.
Based on a judgment, derisive,
he says: ‘The opponent is a fool, unskilled.’</t>
  </si>
  <si>
    <t>Based on what is seen, heard,
On precepts and vows, or what is cognized,
They look down on others.
Convinced of their own theories,
pleased with themselves,
They say, “My opponent is a fool, no expert.”</t>
  </si>
  <si>
    <t>To what they have heard, seen, practised and believed in,
Theyiwget attached and wish to skilfully parry and argue their views.
In their decisions firm, they view, what a shame.
Others, and hold them as nothing but fools.</t>
  </si>
  <si>
    <t>yeneva bāloti paraṃ dahāti
tenātumānaṃ kusaloti cāha
sayamattanā so kusalāvadāno
aññaṃ vimāneti tadeva pāva</t>
  </si>
  <si>
    <t>That by which he holds another to be “a fool”
by that he calls himself “skillful”.
By himself he claims himself to be skillful,
despises the other and speaks accordingly.</t>
  </si>
  <si>
    <t>They take the other as a fool on the same grounds,
that they speak of themselves as an expert.
Claiming to be an expert on their own authority,
they disdain the other while saying the same thing.</t>
  </si>
  <si>
    <t>That by which
he regards his opponents as fools
is that by which
he says he is skilled.
Calling himself skilled,
he despises another
who speaks the same way.</t>
  </si>
  <si>
    <t>“As he considers the opponent a fool,
on the same ground he describes himself as ‘skilled.’
Of his own accord, claiming himself skilled,
he disdains the other, yet speaks in the same way.</t>
  </si>
  <si>
    <t>They consider themselves expert for the same reasons
That they despise their opponent as a fool.
Calling themselves experts, they despise the other,
Yet they speak the very same way.</t>
  </si>
  <si>
    <t>That very count which makes one think of others as fools-—
That [self-] esteem makes an expert of himself,
Then he considers and speaks of himself as an expert,
And in disputes, with contempt, at others he doth look.</t>
  </si>
  <si>
    <t>atisāradiṭṭhiyāva so samatto
mānena matto paripuṇṇamānī
sayameva sāmaṃ manasābhisitto
diṭṭhī hi sā tassa tathā samattā</t>
  </si>
  <si>
    <t>Going to excess in his view he is ‘perfect’,
intoxicated with conceit he thinks himself to be complete.
By himself he has crowned himself in his own mind,
for that is the way his view has been assumed.</t>
  </si>
  <si>
    <t>They are perfect, according to their own extreme view;
drunk on conceit, imagining themselves proficient.
They have anointed themselves in their own mind,
for such is the view they have embraced.</t>
  </si>
  <si>
    <t>Agreeing on a view gone out of bounds,
drunk with conceit, imagining himself perfect,
he has consecrated, with his own mind,
himself
as well as his view.</t>
  </si>
  <si>
    <t>“Inflated by that extremist view,
intoxicated with conceit, thinking himself perfect,
on his own accord he has mentally anointed himself,
for that view of his is taken up in such a manner.</t>
  </si>
  <si>
    <t>And since perfected in some extreme view,
puffed with pride and maddened by conceit,
he anoints himself as though the master-mind,
likewise thinking his view’s perfected too.</t>
  </si>
  <si>
    <t>With false views full, he expects honour befitting a Master.
With cunning full and with pride bubbling in the extreme,
Always, of words he is afraid, and he dares not draw
near;
‘Conduct I ever observe'—such heresy is his crown</t>
  </si>
  <si>
    <t>parassa ce hi vacasā nihīno
tumo sahā hoti nihīnapañño
atha ce sayaṃ vedagū hoti dhīro
na koci bālo samaṇesu atthi</t>
  </si>
  <si>
    <t>If through another’s word one is inferior,
then along with him one is oneself inferior in intelligence.
But if, on the other hand, by oneself one is a knower, a wise man,
then there is no fool among recluses.</t>
  </si>
  <si>
    <t>If the word of your opponent makes you deficient,
then they too are lacking wisdom.
But if on your own authority you’re a knowledge master, a wise person, This must refer back to the previous verse, where sayaṁ means “on one’s own account”.
then there are no fools among the ascetics.</t>
  </si>
  <si>
    <t>If, by an opponent’s word,
one’s inferior,
the opponent’s
of inferior discernment as well.
But if, by one’s own word
one’s an attainer-of-knowledge, enlightened,
no one
among contemplatives
is a fool.</t>
  </si>
  <si>
    <t>“If one is deficient because of the opponent’s word,
the opponent himself is similarly deficient in wisdom.
But if he is himself a master of knowledge, a wise man,
then there is no fool among ascetics.</t>
  </si>
  <si>
    <t>If their opponent says they are deficient,
They too are of deficient understanding.
But if they are wise and knowledgeable,
Then there are no fools among the ascetics.</t>
  </si>
  <si>
    <t>Others’ truths he thinks as wrongly and shamefully
entertained,
While his own views he doth carry shamefully [but]
' skilfully guarded ;
If by all what one knows. a man of skill is to be
distinguished,
Then, afool will there be none, and one would meet
[only] the practitioners of skill.</t>
  </si>
  <si>
    <t>aññaṃ ito yābhivadanti dhammaṃ
aparaddhā suddhimakevalī te
evampi titthyā puthuso vadanti
sandiṭṭhirāgena hi tebhirattā</t>
  </si>
  <si>
    <t>“They who proclaim a teaching other than this
have failed to reach purity and are imperfect.”
Thus sectarians individually speak
inflamed with passion for their view.</t>
  </si>
  <si>
    <t>‘Those who proclaim a teaching other than this
have fallen short of purity, and are inadequate’:
so say each one of the sectarians,
for they are deeply attached to their own view.</t>
  </si>
  <si>
    <t>‘Those who approve of a doctrine other than this
are lacking in purity,
imperfect.’
That’s what the many sectarians say,
for they’re smitten with passion
for their own views.</t>
  </si>
  <si>
    <t>“Those who assert a teaching
different from this to be defective
have failed to reach purity:
thus the sectarians speak in separate ways,
for they are attached to their own views.</t>
  </si>
  <si>
    <t>“Anyone who teaches a doctrine other than this,
Has fallen short of purity and perfection.”
This is what followers of other paths say,
Passionately defending their very different views.</t>
  </si>
  <si>
    <t>the various practices, the heretics [may] an
understanding of purity attain,
And though they may be pure, perfection do they not reach.
The heretics thus hear of security and peace,‘ wherein
being lodged,
Themselves, with greed, get firmly attached to what
they have believed in</t>
  </si>
  <si>
    <t>idheva suddhi iti vādayanti
nāññesu dhammesu visuddhimāhu
evampi titthyā puthuso niviṭṭhā
sakāyane tattha daḷhaṃ vadānā</t>
  </si>
  <si>
    <t>“Here alone there is purity,” they say,
they do not speak of purity in other teachings.
Thus too sectarians are individually entrenched,
speaking firmly about their own system in that respect.</t>
  </si>
  <si>
    <t>‘Here alone is purity,’ they say,
denying that there is purification in other teachings.
Thus each one of the sectarians, being dogmatic,
speaks forcefully within the context of their own journey.</t>
  </si>
  <si>
    <t>‘Only here is there purity,’
that’s what they say.
‘In no other doctrine
is purity,’ they say.
That’s how the many sectarians
are entrenched,
speaking firmly there
concerning their own path.</t>
  </si>
  <si>
    <t>“‘Here only is purity’ they assert;
they say there is no purification in other teachings.
Thus, too, the sectarians, separately entrenched,
firmly assert their own way there.</t>
  </si>
  <si>
    <t>“Here alone is purity,” so they say,
“There is no purity in the teachings of others.”
This is what followers of other paths strongly assert,
Each entrenched in their own different path.</t>
  </si>
  <si>
    <t>This is" the Truth’-thus they cherish and proclaim.
Pure are all the doctrines which they themselves do
maintain-Thus they [firmly] grasp, get restless and [hot words]
do exchange,
And because of themselves and by corruptions clutched,
do they come-to grief!</t>
  </si>
  <si>
    <t>sakāyane vāpi daḷhaṃ vadāno
kamettha bāloti paraṃ daheyya
sayaṃva so medhagamāvaheyya
paraṃ vadaṃ bālamasuddhidhammaṃ</t>
  </si>
  <si>
    <t>Then, in this respect,
how could one call another “a fool”?
He himself would bring conflict to himself
if he called another a fool with an impure teaching.</t>
  </si>
  <si>
    <t>But in that case, so long as they are speaking forcefully of their own journey,
how can they take the other as a fool?
They are the ones who provoke conflict
when they call the other a fool with an impure teaching.</t>
  </si>
  <si>
    <t>Speaking firmly concerning your own path,
what opponent here would you take as a fool?
You’d simply bring strife on yourself
if you said your opponent’s a fool
with an impure doctrine.</t>
  </si>
  <si>
    <t>“Asserting firmly his own way,
what opponent here could one consider a fool?
He himself would just provoke strife
by calling his opponent a fool of impure character.</t>
  </si>
  <si>
    <t>Strongly asserting their own path,
What opponent would they take to be a fool?
They would only bring trouble on themselves
By calling an opponent a fool of impure teachings.</t>
  </si>
  <si>
    <t>Himself ‘firmly attached, with greed, to his beliefs all guarded,
How can he maintain of others as ‘nothing but fools"?
And although the Law doth he preach, of purity he is innocent;
Counts himself, with great esteem, perched high up</t>
  </si>
  <si>
    <t>vinicchaye ṭhatvā sayaṃ pamāya
uddhaṃ sa lokasmiṃ vivādameti
hitvāna sabbāni vinicchayāni
na medhagaṃ kubbati jantu loketi</t>
  </si>
  <si>
    <t>Standing on judgement, measuring by himself,
all the more he comes into dispute in the world.
But having abandoned all judgements,
a person makes no conflict in the world.</t>
  </si>
  <si>
    <t>Standing in judgment, measuring by their own standard,
they keep getting into disputes with the world. 
But a person who has given up all judgments
creates no conflict in the world.”</t>
  </si>
  <si>
    <t>Taking     a stance on your decisions,
&amp;yourself as your measure,
you dispute further down
into the world.
But a person who’s abandoned
all decisions
creates no strife
in the world.”</t>
  </si>
  <si>
    <t>“Based on a judgment, taking himself as the measure,
he enters upon further disputes in the world.
Having abandoned all judgments,
a person does not create strife in the world.”</t>
  </si>
  <si>
    <t>Convinced of their own theories,
Comparing others to oneself,
They get into more disputes with the world.
But by leaving behind all theories,
They don’t have any problems with the world.</t>
  </si>
  <si>
    <t>Ground in truths that are created from his own self,
In this world, [over arguments] he doth get restless;
His conclusions all, if he doth abandon and relinquish,
Well and good No more creations of his fancy
will he have any.</t>
  </si>
  <si>
    <t>MAHĀVIYŪHA</t>
  </si>
  <si>
    <t xml:space="preserve">Great Array for Battle </t>
  </si>
  <si>
    <t>ye kecime diṭṭhiparibbasānā
idameva saccanti vivādayanti
sabbeva te nindamanvānayanti
atho pasaṃsampi labhanti tattha</t>
  </si>
  <si>
    <t>All of those who abide by their views 
and dispute saying “Only this is the truth”,
they all incur blame,
and praise too they get therein.</t>
  </si>
  <si>
    <t>“Regarding those who maintain their own view,
arguing that, ‘This is the only truth’:
are all of them subject only to criticism,
or do some also win praise for that?”</t>
  </si>
  <si>
    <t>“Those who, dwelling on views,
dispute, saying, ‘Only this is true’:
Do they all incur blame,
or also earn praise there?”</t>
  </si>
  <si>
    <t>“Those who are settled in views,
who dispute, saying, ‘This alone is truth’:
do all of them receive only blame,
or do some there also win praise?”</t>
  </si>
  <si>
    <t>Regarding those people who hold to their views,
Arguing, “Only this is true!”
Should all of them be criticized,
Or are some praiseworthy also?</t>
  </si>
  <si>
    <t>According to and because of their views, the declarations
the [heretics] make,
According to what they have already accepted, they all
say :—- ‘This is the best’.
All such evoke from me nothing but contempt,
Though they may have reason to be well-acclaimed</t>
  </si>
  <si>
    <t>See also MN 24; AN 4:24, MN 79</t>
  </si>
  <si>
    <t xml:space="preserve">Views </t>
  </si>
  <si>
    <t>appaṃ hi etaṃ na alaṃ samāya
duve vivādassa phalāni brūmi
etampi disvā na vivādayetha
khemābhipassaṃ avivādabhūmiṃ</t>
  </si>
  <si>
    <t>Little is this, not enough for appeasement:
there are two fruits of dispute, I say.
Having seen this, one should not dispute,
seeing as safety the field of non-dispute.</t>
  </si>
  <si>
    <t>“That is a small thing, insufficient for peace,
these two fruits of conflict, I say.
Seeing this, one ought not get into arguments,
looking for sanctuary in the land of no conflict.</t>
  </si>
  <si>
    <t>“[The praise:] It’s such a small thing,
not at all appeasing.
I speak of two fruits of dispute;
and seeing this, you shouldn’t dispute—
seeing the state
where there’s no dispute
as secure.</t>
  </si>
  <si>
    <t>“This [praise] is slight, not sufficient for peace;
I say there are two fruits of disputes.
Having seen this too, one should not dispute,
seeing as security the stage of non-dispute.</t>
  </si>
  <si>
    <t>This is a small thing, not enough for peace.
I say there are two outcomes of dispute;
Seeing this one should not dispute,
Recognizing that safety is a place without dispute.</t>
  </si>
  <si>
    <t>Little is this for one’s knowledge, creating nothing but
discredit;
Two fruits [these], I say, from disputations arise;
Having seen this, origins of disputes ye all avoid,
Expecting to find peace where no dipute exists.</t>
  </si>
  <si>
    <t>Sujato. If we render khema as “security” and bhūmi as “stage” then we miss the metaphor. Abhi-√pas is found at AN 3.39:11.4 and AN 5.57:15.4 where it has a similar sense of “looking forward to”.</t>
  </si>
  <si>
    <t>yā kācimā sammutiyo puthujjā
sabbāva etā na upeti vidvā
anūpayo so upayaṃ kimeyya
diṭṭhe sute khantimakubbamāno</t>
  </si>
  <si>
    <t>Whatever common acceptances there are
not one of these does the one who knows go close to.
The one who does not go close, how could he engage in going close,
when he shows no liking for what is seen and heard?</t>
  </si>
  <si>
    <t>One who knows does not get involved
with any of the many different convictions.
Why would the uninvolved get involved,
since they do not believe based on the seen or the heard?</t>
  </si>
  <si>
    <t>One who knows doesn’t enter into any conventions
born of the run-of-the mill
at all.
One who’s uninvolved:
When he’s forming no predilection
for what’s seen, for what’s heard, why would he get involved?</t>
  </si>
  <si>
    <t>“Whatever commonplace opinions there are,
a wise person does not get involved in them.
Why would one uninvolved become involved
when he does not acquiesce in what is seen and heard?</t>
  </si>
  <si>
    <t>Regarding these widely-held opinions,
One who knows does not get involved with any of them.
Why would the uninvolved become involved,
Since they have no preferences
In what is seen or heard?</t>
  </si>
  <si>
    <t>All’ the commonalities that are plane like the earth
These he doth never ccndesoend to view as plane; ' When [things], originally, are not equal, how can they be the same?
About heresies, hearsays and declarations do ye never dispute.</t>
  </si>
  <si>
    <t>sīluttamā saññamenāhu suddhiṃ
vataṃ samādāya upaṭṭhitāse
idheva sikkhema athassa suddhiṃ
bhavūpanītā kusalāvadānā</t>
  </si>
  <si>
    <t>Those who take virtue as the highest say that purity is from restraint
taking up an observance and devoting themselves to it:
“Just in this we should train, then there could be purity.”
Aiming at rebirth they speak as if they were skillful.</t>
  </si>
  <si>
    <t>Those who champion ethics speak of purity through self-control;
having undertaken a vow, they stick to it:
‘Let us train right here, then we will be pure.’
Claiming to be experts, they are led on to future lives.</t>
  </si>
  <si>
    <t>Those for whom habits 
are ultimate
say that purity’s
a matter of self-restraint.
Undertaking apractice,
they devote themselves to it:
‘Let’s train just in this,
and then there would be purity.’
Those who say they are skilled
are [thus] led on to becoming.</t>
  </si>
  <si>
    <t>“Those who take good behavior as supreme
speak of purity through self-control.
Having taken up an observance, they settle on it,
thinking: ‘Let’s train right here, then there would be purity.’
Claiming to be skilled, they are led back into existence.</t>
  </si>
  <si>
    <t>Those who consider ethics to be the highest
Say that purity comes from self-restraint.
They undertake a vow and stick to it,
Thinking that only training in this way is there purity,
Declaring themselves experts,
They go to future rebirths.</t>
  </si>
  <si>
    <t>By conduct he guards himself from the violation
of purity;
By the practice of Truth, of felicity he becomes
' possessed;
By rather following his course, the purity he would
attain;
' And of this dreadful world, he has a good word to say</t>
  </si>
  <si>
    <t>sace cuto sīlavatato hoti
sa vedhāti kamma virādhayitvā
sa jappati patthayatī ca suddhiṃ
satthāva hīno pavasaṃ gharamhā</t>
  </si>
  <si>
    <t>If one of them falls away from his virtue and practice,
he trembles having failed in his action.
He longs for and aspires to purity
like one who has lost his caravan while staying away from home.</t>
  </si>
  <si>
    <t>If they fall away from their precepts and vows,
they tremble, having failed in their task.
They pray and long for purity,
like one who has lost their caravan while journeying far from home.</t>
  </si>
  <si>
    <t>But if one of them falls
from his habits or practice,
he trembles,
having failed in his actions.
He hopes for, longs for, purity,
like a caravan leader lost
far from home.</t>
  </si>
  <si>
    <t>he has fallen away from good behavior and observances,
he trembles because he has failed in his action.
He longs and yearns for purity here,
like one on a journey who has lost his caravan.</t>
  </si>
  <si>
    <t>If he falls away from virtuous conduct and vows,
He is anxious, having failed in his task.
He yearns and longs for purity, as one far from home
Who has lost his travelling companions.</t>
  </si>
  <si>
    <t>From the truth already away, rituals he still seeks;
He accepts all these proceeding from the missteps he has taken;
As said above, the purity, with strenuousness, he seeks.
He is fallen from his aim and mere suffering doth he
meet.</t>
  </si>
  <si>
    <t>sīlabbataṃ vāpi pahāya sabbaṃ
kammañca sāvajjanavajjametaṃ
suddhī asuddhī ti apatthayāno
virato care santimanuggahāya</t>
  </si>
  <si>
    <t>But having abandoned all virtue and practice
and action, whether blameworthy or blameless,
with no aspiration regarding “the pure and the impure”,
he would live unconcerned, not grasping after peace.</t>
  </si>
  <si>
    <t>But having given up all precepts and vows,
and these deeds blameworthy or blameless;
not longing for ‘purity’ or ‘impurity’,
live detached, fostering peace.</t>
  </si>
  <si>
    <t>But one who’s abandoned
habits &amp;practices —all—
things that are blamable, blameless,
not hoping for ‘pure’ or ‘impure,’
would live in kindness &amp;peace,
without taking up peace,
detached.</t>
  </si>
  <si>
    <t>“But having abandoned all good behavior and observances,
and these deeds, blameworthy and blameless, 
not yearning for either purity or impurity,
one should live detached, not grasping peace.</t>
  </si>
  <si>
    <t>But one who abandons all virtue and vows,
and deeds both blameless and blameworthy,
Does not long for either purity or impurity;
he lives detached, fostering peace.</t>
  </si>
  <si>
    <t>All rites and rituals, "he doth abandon; )
From all actions, meritorious or sinful, he keeps himself
far;
To purity and impurity, he doth never give a thought; ' From corruptions free, he harbours purity and com-passion</t>
  </si>
  <si>
    <t>“In kindness &amp; peace, without taking up peace”—a pun on the word, santimanuggahaya.</t>
  </si>
  <si>
    <t>tamūpanissāya jigucchitaṃ vā
athavāpi diṭṭhaṃ va sutaṃ mutaṃ vā
uddhaṃsarā suddhimanutthunanti
avītataṇhāse bhavābhavesu</t>
  </si>
  <si>
    <t>Dependent upon asceticism and the way of loathing,
or else, on the seen, the heard or the thought,
they sigh after purity ‘beyond the flow’
not freed from various existences.</t>
  </si>
  <si>
    <t>Relying on mortification in disgust at sin, 
or else on what is seen, heard, or thought,
they moan that purification comes through heading upstream, 
not rid of craving for life after life.</t>
  </si>
  <si>
    <t>Dependent
on taboos, austerities,
or what’s seen, heard, or sensed,
they speak of purity
through wandering further on
through becoming &amp;not-,
their craving not gone
for becoming &amp;not-.</t>
  </si>
  <si>
    <t>“Dependent on austerity or scrupulousness,
or on what is seen, heard, or sensed,
running onward, they declare purity,
not rid of craving for various states of existence.</t>
  </si>
  <si>
    <t>Dependent on ascetic practices,
Or on what is seen, heard, or thought,
They say that purity comes from continual transmigration,
They are not free of craving for life after life.</t>
  </si>
  <si>
    <t xml:space="preserve">To attachment clinging, he doth produce all evil, and
Always thinks of heresies and hearsays [and further
says] :
“Pure and away from these two, who else doth know ”
Craving being not abandoned, from birth to birth doth he run. </t>
  </si>
  <si>
    <t>Chinese diff
This refers to the doctrine of saṁsārasuddhi, that the process of rebirth leads to release. See MN 102</t>
  </si>
  <si>
    <t>patthayamānassa hi jappitāni
pavedhitaṃ vāpi pakappitesu
cutūpapāto idha yassa natthi
sa kena vedheyya kuhiṃ va jappe</t>
  </si>
  <si>
    <t>For the one who aspires there are longings,
and there is shaking in preparations [for the future].
But he for whom there is no falling away or rearising
why should he tremble, for what should he long?</t>
  </si>
  <si>
    <t>For one who longs there are prayers,
and trembling too over ideas they have formed.
But one here for whom there is no passing away or reappearing:
why would they tremble? For what would they pray?”</t>
  </si>
  <si>
    <t>For one who aspires has longings
&amp;trembling with regard to theorizings.
But one who here
has no passing away &amp;arising:
Why would he tremble?
For what would he long?”</t>
  </si>
  <si>
    <t>“For one who yearns there are longings
and trembling too over things mentally formulated;
but for one here who has no passing away or rebirth,
why would he tremble and for what would he long?”</t>
  </si>
  <si>
    <t>One who yearns has longings,
And is anxious regarding their aspirations;
But for one here who has no falling away or reappearing,
Why would they be anxious,
Or for what would they long?</t>
  </si>
  <si>
    <t>Strenuous search one carries, but never [a word] doth he say;
Enlightened, he thinks, he is, by practices like these;
Birth and death [for him] are no more, exhausted as they are;
Like the wise doth he become, as one may [well] say.</t>
  </si>
  <si>
    <t>yamāhu dhammaṃ paramanti eke
tameva hīnanti panāhu aññe
sacco nu vādo katamo imesaṃ
sabbeva hīme kusalāvadānā.</t>
  </si>
  <si>
    <t>The teaching that some call “the highest”,
that very one others call “inferior”.
The true speech is which one among these?
For all these are claiming to be skillful.</t>
  </si>
  <si>
    <t>“The very same teaching that some say is ‘ultimate’,
others say is inferior.
Which of these doctrines is true,
for they all claim to be an expert?”</t>
  </si>
  <si>
    <t>“The teaching some say is ‘supreme,’
is the very one others call ‘lowly.’
Which statement is true
when all of these claim to be skilled?”</t>
  </si>
  <si>
    <t>“The teaching that some here say is supreme,
others say that the same is inferior.
Which assertion of theirs could be true
when they all claim to be skilled?”</t>
  </si>
  <si>
    <t>The doctrine that some people call the ultimate,
Others say is deficient.
Which of these speaks the truth?
For all of them say they are experts.</t>
  </si>
  <si>
    <t>About the Dharma he practises as the highest,
Others say: 'Don’t practise and keep away from deceit’.
In this way, in disputes, people do more indulge,
And [thus] there is Truth for each--this is the benefit,
worldly and ill-conceived.</t>
  </si>
  <si>
    <t>13.10.</t>
  </si>
  <si>
    <t>sakañhi dhammaṃ paripuṇṇamāhu
aññassa dhammaṃ pana hīnamāhu
evampi viggayha vivādayanti
sakaṃ sakaṃ sammutimāhu saccaṃ</t>
  </si>
  <si>
    <t>Their own teaching is that which they call “complete”,
the other’s teaching, however, they call “inferior”.
Thus too they quarrel and dispute,
each taking his own acceptance to be true.</t>
  </si>
  <si>
    <t>“They say their own teaching is perfect,
while the teaching of others is inferior.
So arguing, they quarrel,
each saying their own convictions are the truth.</t>
  </si>
  <si>
    <t>“They say their own teaching is perfect
while the doctrine of others is lowly.
Thus quarreling, they dispute,
each saying his agreed-on opinion is true.</t>
  </si>
  <si>
    <t>“They say their own teaching is complete,
but they say the other’s teaching is inferior.
Having quarreled thus, they go on disputing,
as they each say their own opinion is true.</t>
  </si>
  <si>
    <t>They say their own doctrine is complete,
While that of others is deficient.
Thus arguing they dispute,
Each taking what they agree upon to be the truth.</t>
  </si>
  <si>
    <t>One's own Law is complete"so he doth argue;
"Others’ Law," he doth challenge, "as with depravity
full ;"
By none equalled, mutual hatred do they cherish.
And one’s views and rituals[as they say] never to dirt do stoop</t>
  </si>
  <si>
    <t>parassa ce vambhayitena hīno
na koci dhammesu visesi assa
puthū hi aññassa vadanti dhammaṃ
nihīnato samhi daḷhaṃ vadānā</t>
  </si>
  <si>
    <t>If through another’s blaming one is inferior,
not anyone would be superior regarding teachings,
for widely they speak of another’s teaching
as inferior, while speaking firmly about their own.</t>
  </si>
  <si>
    <t>If you became inferior because someone else disparaged you,
no-one in any teaching would be distinguished.
For each of them says the other’s teaching is lacking,
while forcefully advocating their own.</t>
  </si>
  <si>
    <t>If something, because of an opponent’s say-so,
were lowly,
then none among teachings would be
superlative,
for many say
that another’s teaching’s inferior
when firmly asserting their own.</t>
  </si>
  <si>
    <t>one is inferior when disparaged by an opponent,
no one would be distinguished among teachings.
For they each say the other’s teaching is inferior,
while firmly advocating their own.</t>
  </si>
  <si>
    <t>If by criticizing an opponent
Their doctrine became deficient,
There would be no distinguished doctrines,
Because it is common for people to speak
In defence of their own doctrines,
While making the other’s out to be deficient.</t>
  </si>
  <si>
    <t>If the wise were to be afraid of what the common folk
say,
Then, in matters of Law, would there be none with any
distinction.
Various things, as purity, the ignorant folks do declare;
Each one sticks to his own view and firmly doth it hold</t>
  </si>
  <si>
    <t>saddhammapūjāpi nesaṃ tatheva
yathā pasaṃsanti sakāyanāni
sabbeva vādā tathiyā bhaveyyuṃ
suddhī hi nesaṃ paccattameva</t>
  </si>
  <si>
    <t>But if the honouring of one’s own teaching would accord with
the way they praise their own systems;
then all their speeches would be true,
and purity for them would be individual.</t>
  </si>
  <si>
    <t>But if they honor their own teachings 
just as they praise their own journeys,
then all doctrines would be equally valid,
and purity for them would be an individual matter</t>
  </si>
  <si>
    <t>if their worship of their teaching were true,
in line with the way they praise their own path,
then all doctrines
would be true—
for purity’s theirs, according to each.</t>
  </si>
  <si>
    <t>“And their veneration of their own teaching
is done just as they praise their own ways.
All their assertions would be truthful,
since for them purity is exclusively their own.</t>
  </si>
  <si>
    <t>Indeed, the honoring of their own teachings
Is nothing other than praise of themselves;
If each doctrine were valid,
Then purity would be just a personal matter.</t>
  </si>
  <si>
    <t>Each one’s Law (sa-dhamma) remains respected, as
hearsay reports;
He doth preach it as he understood his own teacher to
say.
Even the rituals, unlawful, have none but words [of
praise] ;
Purified he remains, as he holds himself so in mind.</t>
  </si>
  <si>
    <t>Sujato Here I follow Ñāṇadīpa, who takes the whole verse as a conditional argument, whereas Bodhi and Norman treat each couplet separately. I think the verse is making the argument that each ascetic bases their teaching on their own experience, and so if their teachings were equally valid, then purity would be attained by many (mutually exclusive) means.</t>
  </si>
  <si>
    <t>na brāhmaṇassa paraneyyamatthi
dhammesu niccheyya samuggahītaṃ
tasmā vivādāni upātivatto
na hi seṭṭhato passati dhammamaññaṃ</t>
  </si>
  <si>
    <t>For a Brāhmaṇa there is nothing that needs another’s guidance
and that is assumed after investigating among teachings.
Therefore he has gone beyond disputes,
for he does not regard as best a dhamma that is other.</t>
  </si>
  <si>
    <t>After judging among the teachings, a brahmin has adopted nothing
that requires interpretation by another.
That’s why they’ve gotten over disputes,
for they see no other doctrine as best.</t>
  </si>
  <si>
    <t>The brahman has nothing
led by another,
when considering what’s grasped
among doctrines.
Thus he has gone
beyond disputes,
for he doesn’t regard as best
the knowledge of a doctrine,
any other doctrine.</t>
  </si>
  <si>
    <t>“For a brahmin there is no being led by others,
no selecting among teachings and grasping tightly.
Therefore he has overcome disputes,
since he does not regard another teaching as supreme.</t>
  </si>
  <si>
    <t>The brahmin is not led by another,
Considering wisely, they do not grasp any teaching;
Therefore they go beyond disputes,
Since they see no other doctrine as best.</t>
  </si>
  <si>
    <t>Words like these he doth speak:
“Every one [else's] views are from purity fallen”.
This view, of his then, is dominated by hatred.
Because of “his highest wisdom, he boasts of him-self as ‘Great’</t>
  </si>
  <si>
    <t>Chinese diff
“The knowledge of a doctrine, any other doctrine”—a pun on the word, dhammamaññam.</t>
  </si>
  <si>
    <t>jānāmi passāmi tatheva etaṃ
diṭṭhiyā eke paccenti suddhiṃ
addakkhi ce kiñhi tumassa tena
atisitvā aññena vadanti suddhiṃ</t>
  </si>
  <si>
    <t>“I know, I see, it is just like that”
through view some refer to purity.
If he saw, what use is it to him?
Having passed beyond [themselves] they say purity is through what is other.</t>
  </si>
  <si>
    <t>Saying, ‘I know, I see, that’s how it is’, 
some believe that purity comes from view.
But if they’ve really seen, what use is that view to them?
Overlooking what matters, they say purity comes from another</t>
  </si>
  <si>
    <t>‘I know. I see. That’s just how it is!’—
Some believe purity’s in terms of view.
But even if a person has seen,
what good does it do him?
Having slipped past,
they speak of purity
in connection with something
or somebody else.</t>
  </si>
  <si>
    <t>“Saying, ‘I know, I see, it is just like this,’
some here fall back on purity through a view.
If one has seen, what good is this to himself?
Having gone too far, they assert purity by another.</t>
  </si>
  <si>
    <t>Thinking, “I know, I see, this is how it is!”
Some fall back on view as purity.
Even if one has seen, what use is that to them?
Overstepping, they say purity
Comes by some other means.</t>
  </si>
  <si>
    <t>What he clings to he seeks, and then speaks out;
His object of conviction here doth not remain;
Because of his .legacy' of the past ‘good’
he is declared,
And from conduct pure, others do not him exclude</t>
  </si>
  <si>
    <t>passaṃ naro dakkhati nāmarūpaṃ
disvāna vā ñassati tānimeva
kāmaṃ bahuṃ passatu appakaṃ vā
na hi tena suddhiṃ kusalā vadanti</t>
  </si>
  <si>
    <t>A seeing man will see name-and-matter.
Having seen, he will know just those.
Let him see much or let him see little,
not through that do skillful ones proclaim purity.</t>
  </si>
  <si>
    <t>When a person sees, they see name and form,
and having seen, they will know just these things.
Gladly let them see much or little,
for experts say this is no way to purity.</t>
  </si>
  <si>
    <t>A person, in seeing,
sees name-&amp;-form.
Having seen, he’ll know
only these things.
No matter if he’s seen little, a lot,
the skilled don’t say purity’s
in connection with that.</t>
  </si>
  <si>
    <t>“Seeing, a person will see name-and-form;
having seen, it is just these that he will know.
Granted, let him see much or little,
the skillful say purity is not won in that way.</t>
  </si>
  <si>
    <t>A person with vision sees mind and body,
And then knows only that much;
Let them see much or little,
The experts say purity does not come from that.</t>
  </si>
  <si>
    <t xml:space="preserve">A man of the world, with penetrating vision, the Name
and Form doth note,
And with his knowledge, his understanding doth confirm;
Granted that [knowledge], more or less, he may
have been seen to possess,
But not from this can purity be rightly claimed for him,
</t>
  </si>
  <si>
    <t>nivissavādī na hi subbināyo
pakappitaṃ diṭṭhi purakkharāno
yaṃ nissito tattha subhaṃ vadāno
suddhiṃvado tattha tathaddasā so</t>
  </si>
  <si>
    <t>The one who speaks out of belief is not easy to guide
one who puts in front the view he has formed.
In what he is depending upon, there he speaks of ‘beauty’.
He speaks of purity there, for thus he saw.</t>
  </si>
  <si>
    <t>It’s not easy to educate someone who is dogmatic,
promoting a view they have formulated.
Speaking of the beauty in that which they depend on, 
they talk of purity in accord with what they saw there.</t>
  </si>
  <si>
    <t>A person entrenched in his teachings,
preferring a theorized view,
isn’t easy to discipline.
Whatever he depends on
he describes it as lovely,
says that it’s purity,
that there he saw truth.</t>
  </si>
  <si>
    <t>“A dogmatist is not easily disciplined,
one preferring a formulated view.
Claiming that the good is found in what he depends on,
as a proponent of purity, he saw things that way there.</t>
  </si>
  <si>
    <t>One who speaks dogmatically,
Who’s settled down in view,
Will not be deferent, one not easily trained.
To that attached, his own views “pure”,
“pure path” according to what he’s seen.</t>
  </si>
  <si>
    <t>Wise practices he has and ties he has none;
The view, wisely thought out, he holds [and firmly
doth grasp];
His religious practices, as blameless, doth he view;
The flurry he has got rid of, and to it he never doth
return.</t>
  </si>
  <si>
    <t>na brāhmaṇo kappamupeti saṅkhaṃ
na diṭṭhisārī napi ñāṇabandhu
ñatvā ca so sammutiyo puthujjā
upekkhatī uggahaṇanti maññe</t>
  </si>
  <si>
    <t>The Brāhmaṇa does not approach what can be classed and named. 
He does not follow view, and does not relate to knowledge.
And having known all common acceptances,
he looks on, while others take up.</t>
  </si>
  <si>
    <t>The brahmin does not get involved with formulating and calculating;
they’re not followers of views, nor kinsmen of notions. 
Having understood the many different convictions,
they look on when others grasp.</t>
  </si>
  <si>
    <t>The brahman, evaluating,
doesn’t enter into a theory,
doesn’t follow views,
isn’t tied even to knowledge.
And on knowing
whatever’s conventional, commonplace,
he remains equanimous:
‘That’s what others hold onto.’</t>
  </si>
  <si>
    <t>“Having comprehended, a brahmin
does not take up mental constructs;
he is not a pursuer of views nor a kinsman of knowledge. 
Having known the commonplace opinions,
he maintains equanimity while others grasp.</t>
  </si>
  <si>
    <t>The paragon with wisdom comes not near
To following views, by partial knowledge bound.
Having known opinions of common people,
He’s equanimous, though others study them.</t>
  </si>
  <si>
    <t>With his wise thoughts, the inaccessible he doth reach;
No heresy firm doth he harbour, his consciousness
being awake;
The closing [of the doors of senses] he knows and from objects of attachments he is far;
Circumspect just he is, without grasping the [heresies] that are divers.</t>
  </si>
  <si>
    <t>Sujato, notions: To render ñāṇa here as knowledge would be a mistake.</t>
  </si>
  <si>
    <t>vissajja ganthāni munīdha loke
vivādajātesu na vaggasārī
santo asantesu upekkhako so
anuggaho uggahaṇanti maññe</t>
  </si>
  <si>
    <t>Having released the knots the Muni here in the world
does not take sides among those involved in quarrelling.
Peaceful among the unpeaceful, he is an onlooker,
not taking up where others take up.</t>
  </si>
  <si>
    <t>Having untied the knots here in the world,
the sage takes no side among factions.
Peaceful among the peaceless, equanimous,
they don’t grasp when others grasp.</t>
  </si>
  <si>
    <t>Having untied the knots
here in the world,
the sage here in the world10
doesn’t follow a faction
when disputes have arisen.
At peace among those not at peace,
he’s equanimous, doesn’t hold on:
‘That’s what others hold onto.’</t>
  </si>
  <si>
    <t>“Having loosened the knots here in the world,
the muni does not take sides in arisen disputes.
He is peaceful among the restless, equanimous,
without grasping while others grasp.</t>
  </si>
  <si>
    <t>The sage lets go of all ties to the world,
And when disputes come up they do not take sides;
Peaceful amid the agitated, they are equanimous,
They don’t hold on, thinking, “Let them hold on”.</t>
  </si>
  <si>
    <t>All worldly graspings and attachments has the sage
cut off,
When factions arise, support he lends to none;
Quiet among the flurried, with equanimity he views all
things;
The common folk he pities for the evil that they do</t>
  </si>
  <si>
    <t>pubbāsave hitvā nave akubbaṃ
na chandagū nopi nivissavādī
sa vippamutto diṭṭhigatehi dhīro
na lippati loke anattagarahī</t>
  </si>
  <si>
    <t>Giving up old taints, not making new ones,
he does not go by desire nor speak out of belief.
He, the wise one, being freed from view-issues,
does not get stuck in the world and does not reproach himself.</t>
  </si>
  <si>
    <t>Having given up former defilements, and not making new ones,
not swayed by preference, nor a proponent of dogma, 
that wise one is released from views,
not clinging to the world, nor reproaching themselves.</t>
  </si>
  <si>
    <t>Giving up old effluents,
not forming new,
neither pursuing desire,
nor entrenched in his teachings,
he’s totally released
from viewpoints,
enlightened.
He doesn’t adhere to the world,
is without self-rebuke;</t>
  </si>
  <si>
    <t>“Having abandoned past influxes, not creating new ones,
he does not go along with desire, nor is he a dogmatist.
Released from speculative views, the wise person,
free of self-reproach, is not tainted by the world.</t>
  </si>
  <si>
    <t>Former corruptions are abandoned,
While new ones are not created,
They have no biasses, and are not dogmatic.
The sage is freed from commitment to views,
Not clinging to the world, nor reproaching themselves.</t>
  </si>
  <si>
    <t xml:space="preserve">Old associations he breaks and makes
no new;
Far away from desire, attached how can he be?
From false beliefs, released and free is he, the hero,
From the world entire, he has escaped, and rebirth he
has none. </t>
  </si>
  <si>
    <t>Sujato Here, as at Snp 4.3:2.2, chanda is better read as “preference” than “desire”.</t>
  </si>
  <si>
    <t>13.20.</t>
  </si>
  <si>
    <t>sa sabbadhammesu visenibhūto
yaṃ kiñci diṭṭhaṃ va sutaṃ mutaṃ vā
sa pannabhāro muni vippamutto
na kappiyo nūparato na patthiyoti</t>
  </si>
  <si>
    <t>Unopposed to all things he has become,
whether those seen or heard or those thought about.
The Muni with burden laid down, completely freed
is not forming, not taking delight, not aspiring.</t>
  </si>
  <si>
    <t>They are remote from all things
seen, heard, or thought.
With burden put down, the sage is released:
not formulating, not abstaining, not longing.”</t>
  </si>
  <si>
    <t>is enemy-free11
with regard to all things
seen, heard, or sensed.
His burden laid down,
the sage totally released
is improper :: is theory-free
hasn’t stopped :: isn’t impassioned
isn’t worth wanting :: doesn’t
desire,”
the Blessed One said.</t>
  </si>
  <si>
    <t>“He is remote from all phenomena,
from whatever is seen, heard, or sensed.
With his burden dropped, released,
the muni, not given to mental construction,
does not desist, does not yearn” —
so said the Blessed One.</t>
  </si>
  <si>
    <t>They have no enemies in the doctrines,
Whether seen, heard, or thought;
The sage is freed, having put down the burden,
Not planning, not wanting, not wishing.</t>
  </si>
  <si>
    <t>With respect to [the nature of] Dharmas, lie entertains
no doubt;
Then, what' to say of all that is seen, or heard, and
thought of?
The burden heavy has the sage laid down. Well-freed
He craves not, having gone beyond what he always
meets and sees.</t>
  </si>
  <si>
    <t>“Is improper :: is free from theories, hasn’t stopped :: isn’t impassioned, isn’t worth wanting :: doesn’t desire”—a series of puns—na kappiyo, nuparato, na patthiyo—each with a strongly positive and a strongly negative meaning,
probably meant for their shock value.</t>
  </si>
  <si>
    <t>Tuvaṭaka</t>
  </si>
  <si>
    <t>Quick Way</t>
  </si>
  <si>
    <t>pucchāmi taṃ ādiccabandhu
vivekaṃ santipadañca mahesi
kathaṃ disvā nibbāti bhikkhu
anupādiyāno lokasmiṃ kiñci</t>
  </si>
  <si>
    <t>I ask you, O Kinsman of the Sun,
about seclusion and the state of peace, O Sage.
How having seen is a monk quenched,
not taking up anything in the world.</t>
  </si>
  <si>
    <t>“Great hermit, I ask you, the Kinsman of the Sun,
about seclusion and the state of peace.
How, having seen, is a mendicant quenched,
not grasping anything in this world?”</t>
  </si>
  <si>
    <t>“I ask the Kinsman of the Sun, the Great Seer,
about seclusion &amp;the state of peace.
Seeing in what way is a monk unbound,
clinging to nothing in the world?”</t>
  </si>
  <si>
    <t>“I ask you, Kinsman of the Sun, great rishi,
about seclusion and the state of peace.
How having seen does a bhikkhu attain nibbāna,
not clinging to anything in the world?”</t>
  </si>
  <si>
    <t>I ask the Kinsman of the Sun, the great seeker,
About seclusion and the state of peace.
Seeing what is a bhikkhu quenched,
Not grasping at anything in the world?</t>
  </si>
  <si>
    <t>Of the divine sage gone beyond[all things], I should
like to ask
About remoteness and calm, the source of great joy.
What view should a learner hold, so that Quiescence he may attain, without clinging to anything in the World?</t>
  </si>
  <si>
    <t>See also: DN 2, MN 18, SN 23.2</t>
  </si>
  <si>
    <t>mūlaṃ papañcasaṅkhāya
(iti bhagavā)
mantā asmīti sabbamuparundhe
yā kāci taṇhā ajjhattaṃ
tāsaṃ vinayā sadā sato sikkhe</t>
  </si>
  <si>
    <t>The root of expanse-and-name,18
the “I am”, the deep thinker should put a complete end to.
Whatever cravings are within,
for dispelling these, he should always train mindfully</t>
  </si>
  <si>
    <t>“They would cut off the idea, ‘I am the thinker,”
said the Buddha,
“which is the root of all concepts of identity due to proliferation. 
Ever mindful, they would train to remove
any internal cravings.</t>
  </si>
  <si>
    <t>“He should put an entire stop
to the root of objectification-classifications:
‘I am the thinker.’1
He should train, always mindful,
to subdue any craving inside him.</t>
  </si>
  <si>
    <t>“By reflection, he should stop [the conceit] ‘I am,’
the entire root of concepts due to proliferation,”
[the Blessed One said].
“Whatever cravings there may be internally,
he should always train mindfully for their removal.</t>
  </si>
  <si>
    <t>One should completely extract
The root of proliferation and reckoning—
The notion, “I am the thinker”.
One should train to dispel whatever craving
There is inside, ever mindful.</t>
  </si>
  <si>
    <t>The root of desire and the obstruction of the self
And all distraction therefrom may be completely ended.
And whatever craving that may be embosomed 
For its destruction, one should be watchful and alert</t>
  </si>
  <si>
    <t>14 pali = 13 Chinese 
Chinese story is difierent</t>
  </si>
  <si>
    <t>yaṃ kiñci dhammamabhijaññā
ajjhattaṃ atha vāpi bahiddhā
na tena thāmaṃ kubbetha
na hi sā nibbuti sataṃ vuttā</t>
  </si>
  <si>
    <t>Whatever thing he would directly know,
whether in himself or outside,
that he should not build up ‘strength’ upon,
for that is not called quenching by the good.</t>
  </si>
  <si>
    <t>Regardless of what things they know,
whether internal or external,
they wouldn’t be proud because of that,
for that is not extinguishment, say the good.</t>
  </si>
  <si>
    <t>Whatever truth he may know,
within or without,
he shouldn’t, because of it,
make himself hardened,
for that isn’t called
unbinding by the good.</t>
  </si>
  <si>
    <t>“Whatever one might know,
whether internally or externally,
one should not be obstinate on that account,
for that is not called quenching by the good.</t>
  </si>
  <si>
    <t>Whatever principle they have known for themselves,
Whether internally or externally,
They would not be stubborn about that,
For good people say that this is not quenching.</t>
  </si>
  <si>
    <t>Already he has understood whatever is in consonance
with Law—
That which is within or that which is without.
He is strenuous and diligent at whatever he does,
Without aiming, Thus
grasping will not exist</t>
  </si>
  <si>
    <t>seyyo na tena maññeyya
nīceyyo athavāpi sarikkho
phuṭṭho anekarūpehi
nātumānaṃ vikappayaṃ tiṭṭhe</t>
  </si>
  <si>
    <t>By that he should not think himself to be better,
or to be lower or equal.
Contacted by many forms
he should not stay making out himself.</t>
  </si>
  <si>
    <t>They wouldn’t let that make them conceited,
thinking themselves better or worse or alike.
When questioned in many ways, 
they wouldn’t keep justifying themselves.</t>
  </si>
  <si>
    <t>He shouldn’t, because of it, think himself
better, lower, or equal.
Touched by contact in various ways,
he shouldn’t keep theorizing about self.</t>
  </si>
  <si>
    <t>“Because of this one should not think oneself better,
nor should one consider oneself inferior or equal.
Being affected in various ways,
one should not persist in positioning oneself.</t>
  </si>
  <si>
    <t>You shouldn’t, on that account, think you are better,
Or worse, or even the same;
Though affected by many different things,
You should not keep thinking of yourself.</t>
  </si>
  <si>
    <t xml:space="preserve">Because of this, he may not think high of himself,
Nor low, nor ranked as on level with others;
Though looked up to and praised by the people, 
He may not exalt himself to the skies and then fallen
stand. </t>
  </si>
  <si>
    <t>ajjhattamevupasame
na aññato bhikkhu santimeseyya
ajjhattaṃ upasantassa
natthi attāṃ kuto nirattāṃ vā</t>
  </si>
  <si>
    <t>Only in himself should he come to peace,
a monk should not seek peace from what is other.
For the one come to peace in himself
there is not the assumed, from where the rejected.</t>
  </si>
  <si>
    <t>A mendicant would find peace inside themselves,
and not seek peace from another.
For one at peace inside themselves,
there’s no picking up, whence putting down?</t>
  </si>
  <si>
    <t>Stilled right within,
a monk shouldn’t seek peace from another,
from anything else.
For one stilled right within,
there’s nothing embraced,
so how rejected?</t>
  </si>
  <si>
    <t>“It is internally that he should achieve peace;
a bhikkhu should not seek peace through another.
For one who is at peace within himself,
there is nothing taken up, much less rejected.</t>
  </si>
  <si>
    <t>Totally calm within himself,
A bhikkhu would not seek peace from another;
For one who is at peace with themselves,
There is nothing to hold on to, still less to put down.</t>
  </si>
  <si>
    <t>By just guarding himself, the Quiescence he may
He must learn to seek it not of others, 
By inner reflection, the mental attachment doth cease.
He pries not into things". How can he[possibly]do it?</t>
  </si>
  <si>
    <t>majjhe yathā samuddassa
ūmi no jāyatī ṭhito hoti
evaṃ ṭhito anejassa
ussadaṃ bhikkhu na kareyya kuhiñci</t>
  </si>
  <si>
    <t>As in the middle of the ocean
no wave is born, it stays still.
So he should stay still without movement
and allow no ‘up-flow’ anywhere.</t>
  </si>
  <si>
    <t>Just as, in the mid-ocean deeps 
no waves arise, it stays still;
so too one unstirred is still
a mendicant would nurse no pride at all.”</t>
  </si>
  <si>
    <t>As in the middle of the sea
it is still,
with no waves upwelling,
so the monk—unperturbed, still—
should not swell himself
anywhere.”</t>
  </si>
  <si>
    <t>“Just as in the middle of the ocean
no wave arises, but the ocean remains steady,
so too he should be steady, without impulse;
a bhikkhu should not cause a swelling anywhere.”</t>
  </si>
  <si>
    <t>As in the middle of the ocean,
There are no waves, but all is still,
So they would be still, unmoving;
A bhikkhu is not haughty at all.</t>
  </si>
  <si>
    <t>Just as in a place in the midst of the ocean,
There are no waves, and one can be steady and straight,
Just so with one in whom everything has stopped and stayed.
The Enlightened One can have no protuberances in his mind.</t>
  </si>
  <si>
    <t>akittayī vivaṭacakkhu
sakkhidhammaṃ parissayavinayaṃ
paṭipadaṃ vadehi bhaddante
pātimokkhaṃ atha vāpi samādhiṃ</t>
  </si>
  <si>
    <t>The open-eyed one has declared
the nature of things as experienced, putting aside difficulties.20
Tell us of the practice, Venerable Sir,
the binding principles, as well as composure.</t>
  </si>
  <si>
    <t>“He whose eyes are open has explained
the truth he witnessed, where adversities are removed.
Please now speak of the practice, sir,
the monastic code and immersion in samādhi.</t>
  </si>
  <si>
    <t>“He whose eyes are open has described
the Dhamma he’s witnessed,
subduing danger.
Now tell us, sir, the practice:
the Pāṭimokkha &amp;concentration.”</t>
  </si>
  <si>
    <t>“The one with opened eyes declared
the Dhamma he witnessed, the removal of obstacles.
Speak about the practice, venerable one,
the Pātimokkha and also concentration.”</t>
  </si>
  <si>
    <t>You have taught me, with your eyes open,
Seeing principles for yourself, dispelling dangers;
Venerable sir, tell me the practice,
The rules of conduct and also meditation.</t>
  </si>
  <si>
    <t>I hope the Great vision-eyed Seer will reveal
To others the Law already experienced by Him.
I hope He may the Honoured One excuse me, will shed light
On the rules[0f Pratimoksa] and the concentration that
follows.”</t>
  </si>
  <si>
    <t>cakkhūhi neva lolassa
gāmakathāya āvaraye sotaṃ
rase ca nānugijjheyya
na ca mamāyetha kiñci lokasmiṃ</t>
  </si>
  <si>
    <t>He should not be restless with his eyes.
He should close his ears to village talk.
He should not be greedy for tastes
and not make ‘mine’ anything in the world.</t>
  </si>
  <si>
    <t>“With eyes not wanton,
they’d turn their ears from village gossip.
They wouldn’t be greedy for flavors,
nor possessive about anything in the world.</t>
  </si>
  <si>
    <t>“One shouldn’t be careless with his eyes,
should close his ears to village-talk,
shouldn’t hunger for flavors,
or view anything in the world
as mine.</t>
  </si>
  <si>
    <t>“One should not be restless with the eyes,
one should block the ears against village gossip.
One should not be greedy for tastes,
and one should not take anything in the world as ‘mine.’</t>
  </si>
  <si>
    <t>Not letting their eyes wander,
Turning their ear from crass conversations,
Not greedy for flavors,
And not thinking of anything in the world as “mine”.</t>
  </si>
  <si>
    <t>Just hold your eyes from moving right or left;
Give words no access to your ears which closed may
remain;
Have no greed for tastes that are tabooed;
Have no sense of my-ness for things of the world</t>
  </si>
  <si>
    <t>phassena yadā phuṭṭhassa
paridevaṃ bhikkhu na kareyya kuhiñci
bhavañca nābhijappeyya
bheravesu ca na sampavedheyya</t>
  </si>
  <si>
    <t>When contacted by contact
a monk should not make lamentation about anything.
He should not hanker after existence,
and not shake among fearful things.</t>
  </si>
  <si>
    <t>Though struck by contacts,
a mendicant would not lament at all.
They wouldn’t pray for another life,
nor tremble in the face of dangers.</t>
  </si>
  <si>
    <t>When touched by contact,
he shouldn’t lament,
shouldn’t covet anywhere any
states of becoming,
or tremble at terrors.</t>
  </si>
  <si>
    <t>“When he is touched by a contact,
a bhikkhu should not lament anywhere.
He should not long for any state of existence,
nor should he tremble amid fearful conditions.</t>
  </si>
  <si>
    <t>When things afflict him,
A bhikkhu would not whinge at all;
He would neither long for rebirth,
Nor tremble at dangers.</t>
  </si>
  <si>
    <t>If your body is assailed by contacts, rough or smooth,
Entertain no thought of grief in your mind.
If you have a craving for things that are covetable,
And if you have fears, please,  do not crouch</t>
  </si>
  <si>
    <t>14.10.</t>
  </si>
  <si>
    <t>annānamatho pānānaṃ
khādanīyānaṃ athopi vatthānaṃ
laddhā na sannidhiṃ kayirā
na ca parittase tāni alabhamāno</t>
  </si>
  <si>
    <t>Of foods and drinks
of chewables as well as of clothes
he should not, if getting them, make a store,
and he should not become anxious if not getting them.</t>
  </si>
  <si>
    <t>When they receive food and drink,
edibles and clothes,
they wouldn’t store them up,
nor worry about not getting them.</t>
  </si>
  <si>
    <t>When gaining food &amp;drink,
staples &amp;cloth,
he should not make a hoard.
Nor should he be upset
when receiving no gains.</t>
  </si>
  <si>
    <t>“Having obtained food and drink,
things to eat or clothes to wear,
he should not hoard them,
nor be agitated if he does not obtain them.</t>
  </si>
  <si>
    <t>He would not store up goods that he gets,
Whether food and drink,
Other edibles or cloth,
And he would not be afraid of not getting anything.</t>
  </si>
  <si>
    <t>The food and drinks that ye may obtain
And the clothes that ye may get for your use. Take them enough for your need and stop, without providing for the future.
With these, ye rest [content] and covet ye not for the rest</t>
  </si>
  <si>
    <t>jhāyī na pādalolassa
virame kukkuccā nappamajjeyya
athāsanesu sayanesu
appasaddesu bhikkhu vihareyya</t>
  </si>
  <si>
    <t>He should be meditative and not restless on his feet.
He should refrain from loose conduct and not be negligent.
Then in sitting and resting places
that are of little sound a monk should dwell.</t>
  </si>
  <si>
    <t>Meditative, not footloose,
they’d avoid remorse and not be negligent.
Then a mendicant would stay
in quiet places to sit and rest.</t>
  </si>
  <si>
    <t>Doing jhāna, not footloose,
he should refrain from restlessness,
shouldn’t be heedless,
should live in a noise-less abode.</t>
  </si>
  <si>
    <t>“He should be a meditator, not one with restless feet;
he should refrain from regret; he should not be heedless.
A bhikkhu should dwell amid seats and beds
[in lodgings] where there is little noise.</t>
  </si>
  <si>
    <t>Practising jhāna, not footloose,
Not remorseful, nor negligent;
That bhikkhu would stay in quiet
Places for meditation and sleep.</t>
  </si>
  <si>
    <t>In meditation be steeped and in forests find delight;
To rules of conduct be resigned, with no violence or play with them;
In places of dwelling or of rest, and in places
That are calm and quiet, O student, ye with strenuous-ness exert</t>
  </si>
  <si>
    <t>niddaṃ na bahulīkareyya
jāgariyaṃ bhajeyya ātāpī
tandiṃ māyaṃ hassaṃ khiḍḍaṃ
methunaṃ vippajahe savibhūsaṃ</t>
  </si>
  <si>
    <t>He should not take much sleep,
but should apply himself to wakefulness, being ardent.
Lassitude, deceit, laughter and play
he should dispel, as well as sexuality and adornment.</t>
  </si>
  <si>
    <t>They wouldn’t take much sleep,
but, being keen, would apply themselves to wakefulness.
They’d give up sloth, illusion, mirth, and play,
and sex and ornamentation.</t>
  </si>
  <si>
    <t>ardent, given to wakefulness,
he should abandon weariness, deception,
laughter, sports,
sexual intercourse,
&amp;all that goes with it;</t>
  </si>
  <si>
    <t>“He should not overindulge in sleep;
he should be devoted to wakefulness, ardent.
He should abandon indolence, hypocrisy, laughing, and playfulness,
sexual intercourse, and personal ornamentation.</t>
  </si>
  <si>
    <t>They would not sleep much,
But be ardent, developing wakefulness;
They would abandon laziness, deceit, jokes, games,
And sex, together with other frivolities.</t>
  </si>
  <si>
    <t>No fear ye entertain and sloth and torpor ye relinquish;
In watchful behaviour always practise exertion.
Drowsiness, sport and laughter ye abandon,
And from sexual enjoyment and self-adornment, keep
away</t>
  </si>
  <si>
    <t>āthabbaṇaṃ supinaṃ lakkhaṇaṃ
no vidahe athopi nakkhattaṃ
virutañca gabbhakaraṇaṃ
tikicchaṃ māmako na seveyya</t>
  </si>
  <si>
    <t>Atharva charms, dreams and signs
he should not practice, as well as astrology.
Animal cries interpretation, causing of conception,
and healing my follower should not engage it.</t>
  </si>
  <si>
    <t>They wouldn’t cast Artharvaṇa spells, interpret dreams or omens, or practice astrology.
My followers would not decipher animal cries, practice healing, or cast pregnancy spells.</t>
  </si>
  <si>
    <t>should not practice casting spells,3
interpret dreams, physical marks,
the stars, animal cries;
should not be devoted to
doing cures or inducing fertility.</t>
  </si>
  <si>
    <t>“He should not employ Atharva spells,
or interpret dreams, signs, or constellations.
My follower would not decipher animal cries,
or practice healing or making women fertile.</t>
  </si>
  <si>
    <t>One of my followers would not cast spells,
Or interpret dreams,
Nor would they practice astrology,
Prognosticate animal sounds,
Practice fertility magic,
Or [earn money] as a healer.</t>
  </si>
  <si>
    <t>Weapons of injury ye give up, as well as the interpretation of dreams;
Exhibit not your skill of [sustaining the child in] the
womb,
Use not at all a probing[knife] and thus be a favourite of gods</t>
  </si>
  <si>
    <t>nindāya nappavedheyya
na uṇṇameyya pasaṃsito bhikkhu
lobhaṃ saha macchariyena
kodhaṃ pesuṇiyañca panudeyya</t>
  </si>
  <si>
    <t>A monk should not tremble at blame,
and not get elated when praised.
Greed together with avarice,
anger and slander he should dispel.</t>
  </si>
  <si>
    <t>Not shaken by criticism,
a mendicant would not pride themselves when praised.
They’d reject greed and stinginess, anger, and slander.</t>
  </si>
  <si>
    <t>A monk shouldn’t tremble at blame
or grow haughty with praise;
should dispel stinginess, greed, divisive speech, anger;</t>
  </si>
  <si>
    <t>“A bhikkhu should not be shaken by blame,
nor should he be elated when praised.
He should dispel greed and miserliness,
as well as anger and slanderous speech.</t>
  </si>
  <si>
    <t>A bhikkhu would not be anxious when criticized,
Nor puffed up when praised;
But would get rid of greed together with
Stinginess, anger, and slander</t>
  </si>
  <si>
    <t>If words of challenge ye meet, let no hatred overpower you;
If words of eulogy greet you, speak no words of exaltation ;
Coveted objects ye give up, along with jealousy,
And the double-tongue, too, with what is anger and grief</t>
  </si>
  <si>
    <t>kayavikkaye na tiṭṭheyya
upavādaṃ bhikkhu na kareyya kuhiñci
gāme ca nābhisajjeyya
lābhakamyā janaṃ na lapayeyya</t>
  </si>
  <si>
    <t>A monk should not stay with buying and selling,
and not make criticism regarding anything.
He should not get attached in the village
and not speak boastfully out of a desire for gain.</t>
  </si>
  <si>
    <t>They’d not stand for buying and selling;
a mendicant would not speak ill at all.
They wouldn’t linger in the village,
nor cajole people from desire for profit.</t>
  </si>
  <si>
    <t>shouldn’t buy or sell
or revile anyone anywhere;
shouldn’t linger in villages,
or flatter people in hope of gains.</t>
  </si>
  <si>
    <t>“A bhikkhu should not engage in buying and selling;
he should not do anything that incurs criticism.
He should not form intimacy in the village;
he should not address people from a desire for gain.</t>
  </si>
  <si>
    <t>They would not continue at a trade,
A bhikkhu would not incur blame at all;
They would not linger in a village,
Nor cajole people hoping to get stuff.</t>
  </si>
  <si>
    <t>In buying and selling, engage yourself never,
Nor, in the same, practise any fraud for gain;
For any dwelling-places in the country, have no greed,
Nor from the same, ye seek or crave any gain.</t>
  </si>
  <si>
    <t>na ca katthitā siyā bhikkhu
na ca vācaṃ payuttaṃ bhāseyya
pāgabbhiyaṃ na sikkheyya
kathaṃ viggāhikaṃ na kathayeyya</t>
  </si>
  <si>
    <t>A monk should not be a boaster
and not speak hintingly.
He should not train in recklessness
and not speak quarrelsome speech.</t>
  </si>
  <si>
    <t>A mendicant would be no boaster,
nor would they speak suggestively.
They wouldn’t train in impudence,
nor speak argumentatively.</t>
  </si>
  <si>
    <t>A monk shouldn’t boast
or speak with ulterior motive,
shouldn’t train in insolence
or speak quarrelsome words;</t>
  </si>
  <si>
    <t>“A bhikkhu should not be boastful,
and he should not utter insinuating speech.
He should not train himself in impudence;
he should not utter contentious talk.</t>
  </si>
  <si>
    <t>A bhikkhu would not be boastful,
Nor speak with an ulterior motive;
He would not practice impudence,
Nor say things that were argumentative.</t>
  </si>
  <si>
    <t>Words that reveal one’s desire as well as greed or attachment
Give no vent to them, as with the rough and wrong
[only]do they go.
Of words of impudence, ye never learn any,
And in all your doings, hatred ye never arouse</t>
  </si>
  <si>
    <t>mosavajje na nīyetha
sampajāno saṭhāni na kayirā
atha jīvitena paññāya
sīlabbatena nāññamatimaññe</t>
  </si>
  <si>
    <t>He should not be led by falsehood
and in awareness he should not act in a deceitful manner.
Then on account of life and wisdom
and virtue and practice he should not despise another.</t>
  </si>
  <si>
    <t>They wouldn’t be led into lying,
nor be deliberately devious.
And they’d never look down on another
because of livelihood, wisdom, or precepts and vows.</t>
  </si>
  <si>
    <t>shouldn’t engage in lies
or knowingly cheat;
shouldn’t despise others for their life, discernment, habits,
or practices.</t>
  </si>
  <si>
    <t>“He should not be led into false speech,
nor should he deliberately do anything deceptive. 
Because of his way of life, his wisdom,
or his good behavior and observances,
he should not despise another.</t>
  </si>
  <si>
    <t>He would not be carried away by lies,
Nor deliberately betray anyone;
Nor would he look down on anyone for their
Way of life, intelligence, virtue, or vows.</t>
  </si>
  <si>
    <t>In false speech, never find ye any delight,
Nor do ye practise any duplicity of speech. 
In life while it lasts, seek the practices of the wise
And rules of conduct ye hold truly, without
slighting them as leaky</t>
  </si>
  <si>
    <t>sutvā rusito bahuṃ vācaṃ
samaṇānaṃ vā puthujanānaṃ
pharusena ne na paṭivajjā
na hi santo paṭisenikaronti</t>
  </si>
  <si>
    <t>Provoked after hearing much talk,
from recluses as well as from common people,
he should not counter them with harsh speech,
for the good do not retaliate.</t>
  </si>
  <si>
    <t>Though provoked from hearing much talk
from ascetics saying all different things, 
they wouldn’t react harshly,
for the virtuous do not retaliate</t>
  </si>
  <si>
    <t>Annoyed on hearing many words
from contemplatives
or ordinary people,
he shouldn’t respond harshly,
for those who retaliate
aren’t calm.</t>
  </si>
  <si>
    <t>“When provoked, having heard many words
from ascetics who speak profusely,
he should not respond to them harshly,
for the good do not retaliate.</t>
  </si>
  <si>
    <t>Even if provoked by different sayings,
Of ascetics or of ordinary people,
He would not answer harshly,
For good people make no enemies.</t>
  </si>
  <si>
    <t>If words, coarse, evil, or not nice,
Reach your ears, from companions or from the
commoner,
Well! have them closed; and never do retaliate ;
For, the wise and worthy never make a personal assault</t>
  </si>
  <si>
    <t>etañca dhammamaññāya
vicinaṃ bhikkhu sadā sato sikkhe
santīti nibbutiṃ ñatvā
sāsane gotamassa na pamajjeyya</t>
  </si>
  <si>
    <t>Knowing that this is the Dhamma,
reflecting on it a monk should always train mindfully.
Knowing quenching to be “peace”
he should not be negligent in Gotama’s teaching</t>
  </si>
  <si>
    <t>Having understood this teaching,
inquiring, a mendicant would always train mindfully.
Knowing extinguishment as peace,
they’d not be negligent in Gotama’s bidding.</t>
  </si>
  <si>
    <t>monk inquiring
should always
train in it mindfully.
Knowing unbinding as peace,
he shouldn’t be heedless
of Gotama’s message—</t>
  </si>
  <si>
    <t>“Having understood this Dhamma, investigating,
a bhikkhu should always train mindfully.
Having known quenching as peace,
he should not be heedless in Gotama’s teaching.</t>
  </si>
  <si>
    <t>Fully understanding this principle,
An inquiring bhikkhu would always train mindfully;
Knowing quenching as peace,
He would not be negligent in Gotama’s teaching.</t>
  </si>
  <si>
    <t>Knowing the Truths of Tathagata as just and right,
Never dally with them, but with close thought think over ;
Consider that from the calm and quiet doth Quiescence
result,
And Gautama's teaching ye never treat as light or with doubt</t>
  </si>
  <si>
    <t>14.20.</t>
  </si>
  <si>
    <t>abhibhū hi so anabhibhūto
sakkhidhammamanītihamadassī
tasmā hi tassa bhagavato sāsane
appamatto sadā namassamanusikkheti</t>
  </si>
  <si>
    <t>For he is the overcomer who is not overcome.
With his own eyes he saw the Dhamma not based on hear-say.
Therefore in the teaching of that Blessed one
one should always train with diligence and devotion.</t>
  </si>
  <si>
    <t>For he is the undefeated, the champion,
seer of the truth as witness, not by hearsay—
that’s why, being diligent, they would always respectfully train
in the Buddha’s teaching.”</t>
  </si>
  <si>
    <t>for he, the Conqueror unconquered,
witnessed the Dhamma,
not by hearsay,
but directly, himself.
So, heedful, you
should always do homage &amp;train
in line with that Blessed One’s message,”
the Blessed One said.</t>
  </si>
  <si>
    <t>“For he is a conqueror who is himself unconquered;
he saw the Dhamma as a witness, not by hearsay.
Therefore, heedful in that Blessed One’s teaching,
always honoring it, one should train in accordance with it.”</t>
  </si>
  <si>
    <t>He overcomes, he is not overcome,
Seeing the Dhamma with his own eyes, not by hearsay;
Therefore he would always respectfully train in accord,
Diligent in the teaching of the Buddha.</t>
  </si>
  <si>
    <t>He has wisdom self-obtained and the Law that doth
not die,
He has seen the Law directly-experienced and to tradi-tion not submitting ;
Always follow wisdom, Tathagata's teaching,
And from this wisdom will follow good, with attachment none</t>
  </si>
  <si>
    <t>ATTADAṆḌA</t>
  </si>
  <si>
    <t xml:space="preserve">Taking up Arms </t>
  </si>
  <si>
    <t>attadaṇḍā bhayaṃ jātaṃ
janaṃ passatha medhagaṃ
saṃvegaṃ kittayissāmi
yathā saṃvijitaṃ mayā</t>
  </si>
  <si>
    <t>From the taking up of sticks fear arises—
look at people quarrelling.
I shall describe the sense of urgency
in the way it was experienced by me.</t>
  </si>
  <si>
    <t>Peril stems from those who take up arms—
just look at people in conflict!
I shall extol how I came to be
stirred with a sense of urgency.</t>
  </si>
  <si>
    <t>“When embraced,
the rod of violence1
breeds danger &amp;fear:
Look at people in strife.
I will tell how
I experienced terror:</t>
  </si>
  <si>
    <t>“Fear has arisen from one who has taken up the rod:
see the people engaged in strife.
I will tell you of my sense of urgency,
how I was stirred by a sense of urgency.</t>
  </si>
  <si>
    <t>Fear’s born assuming forcefulness¹⁶—
see how the people fight!
I’ll tell you how I’m deeply moved,
how I have felt so stirred.</t>
  </si>
  <si>
    <t>Lack of compassion doth [surely] lead on to fear and
terror;
By listening to wise [words], from the world doth one
escape.
I'll tell you now how I felt distressed,
How I became free from [distress] and how all fear and
terror I banished</t>
  </si>
  <si>
    <t>phandamānaṃ pajaṃ disvā
macche appodake yathā
aññamaññehi byāruddhe
disvā maṃ bhayamāvisi</t>
  </si>
  <si>
    <t>Seeing the trembling humankind 
like fish in little water
mutually opposed to each other
fear entered my heart.</t>
  </si>
  <si>
    <t>I saw this population flounder,
like a fish in a little puddle.
Seeing them fight each other,
fear came upon me.</t>
  </si>
  <si>
    <t>Seeing people floundering
like fish in small puddles,
competing with one another—
as I saw this,
fear came into me.
The world was entirely
without substance.</t>
  </si>
  <si>
    <t>“Having seen the population trembling
like fish in a pool with little water,
having seen them hostile to one another,
fear came upon me.</t>
  </si>
  <si>
    <t>Seeing how people flounder
as fish in little water
attacking one the other
its fearfulness appeared.</t>
  </si>
  <si>
    <t>Throbbing with distress were all the people in the world,
Like the fish in water that is dried up, when the flow is
cut off.
With the sufiering produced, they had thoughts of
hurting [others],
Replacing that fear,_with pleasure that was real but
depraved</t>
  </si>
  <si>
    <t>15 pali = 16 Chinese 
The stories are quite different</t>
  </si>
  <si>
    <t>samantamasāro loko
disā sabbā sameritā
icchaṃ bhavanamattano
nāddasāsiṃ anositaṃ</t>
  </si>
  <si>
    <t>All around the world was void of sense.
All directions were adrift.
Wanting an abode for myself
I did not see any unobstructed</t>
  </si>
  <si>
    <t>The world around was hollow,
all directions were in turmoil.
Wanting a home for myself,
I saw nowhere unsettled</t>
  </si>
  <si>
    <t xml:space="preserve">All the directions
were knocked out of line.
Wanting a haven for myself,
I saw nothing that wasn’t laid claim to.
</t>
  </si>
  <si>
    <t>“The world was insubstantial all around;
all the directions were in turmoil.
Desiring an abode for myself,
I did not see [any place] unoccupied.</t>
  </si>
  <si>
    <t>Once I wished a place to stay,
but all the world is essenceless,
turmoil in every quarter,
I saw no place secure.</t>
  </si>
  <si>
    <t>Everything, all around, was burning;
All the ten directions were rutfled, knowing no peace.
Wishing self-advancement, the craving they abandoned
not;
For lack of insight, the foolish thoughts they stuck to.</t>
  </si>
  <si>
    <t>osānetveva byāruddhe
disvā me aratī ahu
athettha sallamaddakkhiṃ
duddasaṃ hadayanissitaṃ</t>
  </si>
  <si>
    <t>In that very obstruction they were opposed—
seeing that, aversion arose in me.
Then I saw the barb there,
hard to see, stuck in the heart.</t>
  </si>
  <si>
    <t>But even in their settlement they fight 
seeing that, I grew uneasy.
Then I saw a dart there,
so hard to see, stuck in the heart.</t>
  </si>
  <si>
    <t>Seeing nothing in the end
but competition,
I felt discontent.
And then I saw an arrow here,
so very hard to see,
embedded in the heart.</t>
  </si>
  <si>
    <t>“Having seen those hostile at the end,
discontent came upon me.
Then I saw the dart here,
hard to see, nestled in the heart.</t>
  </si>
  <si>
    <t>Folks’ never-ending enmity
I saw, took no delight,
but then I saw the hard-to-see,
the dart within the heart.</t>
  </si>
  <si>
    <t>With extinction entangled the darkness
of suffering did they seek.
When I saw all this, discontent my mind did assail,
Which led on to suffering. A dart of grief I noticed—
A dart, diificult to be seen, and hard to endure</t>
  </si>
  <si>
    <t>yena sallena otiṇṇo
disā sabbā vidhāvati
tameva sallamabbuyha
na dhāvati na sīdati</t>
  </si>
  <si>
    <t>The barb pierced by which
one runs in all directions,
having pulled that barb out
one does not run, one does not sink.</t>
  </si>
  <si>
    <t>When struck by that dart,
you run about in all directions.
But when that same dart has been plucked out,
you neither run about nor sink down.</t>
  </si>
  <si>
    <t>Overcome by this arrow
you run in all directions.
But simply on pulling it out
you don’t run,
you don’t sink.</t>
  </si>
  <si>
    <t>“When one is struck by that dart
one runs astray in all directions.
But having drawn out that dart,
one does not run, does not sink.”</t>
  </si>
  <si>
    <t>Affected by this dart
one runs in all directions
but with the dart pulled out
one neither runs nor sinks.</t>
  </si>
  <si>
    <t>With this dart of grief, planted firm and hence not
negligible,
With this dart, pierced, one rushes along all the world
over.
This dart of grief has been, by the Blessed One, seen
and uprooted.
The suffering has become negligible and no one rushes
along any longer</t>
  </si>
  <si>
    <t>Nd I: “One doesn’t run” to any of the destinations of rebirth; “one doesn’t sink” into any of the four floods of sensuality, views, becoming, and ignorance. See SN 1:1, SN 45:171, and AN 4:10.</t>
  </si>
  <si>
    <t>tattha sikkhānugīyanti
yāni loke gadhitāni
na tesu pasuto siyā
nibbijjha sabbaso kāme
sikkhe nibbānamattano</t>
  </si>
  <si>
    <t>Whatever ties there are in the world
one should not be intent on them.
Having broken through sensuality completely
one should train in self-quenching.</t>
  </si>
  <si>
    <t>Whatever attachments there are in the world,
don’t pursue them.
Having pierced through sensual pleasures in every way,
train yourself for quenching.</t>
  </si>
  <si>
    <t>you shouldn’t be set on them.
Having totally penetrated
sensual pleasures,
sensual passions,4
you should train for your own
unbinding.</t>
  </si>
  <si>
    <t>There the trainings are recited:
“Whatever bonds there are in the world,
one should not be intent on them.
Having entirely pierced through sensual pleasures,
one should train for one’s own nibbāna.</t>
  </si>
  <si>
    <t>On this, the training’s chanted thus:
Whatever bonds within the world¹⁷
they should not be pursued
knowing in depth all sense-desires
for Nirvāṇa train.</t>
  </si>
  <si>
    <t>Whatsoever the world possesses, all that ye may not take.
It is the root of misbehaviour and distraction. Give it
up and take not to it.
Passions, objects of disgust—all of them ye pass over.
Suffering ye learn to avoid, being away from the flourish
of the self</t>
  </si>
  <si>
    <t>At this point the training rules are recited:</t>
  </si>
  <si>
    <t>sacco siyā appagabbho
amāyo rittapesuṇo
akkodhano lobhapāpaṃ
vevicchaṃ vitare muni</t>
  </si>
  <si>
    <t>One should be truthful and not reckless,
without deceit, rid of slander,
and without anger. The evil of greed
and the wish for variety a Muni should cross over.</t>
  </si>
  <si>
    <t>Be truthful, not rude,
free of deceit, and rid of slander;
without anger, a sage would cross over
the evils of greed and avarice.</t>
  </si>
  <si>
    <t>Be truthful, not insolent,
not deceptive, remote
from divisiveness.
Without anger, the sage
should cross over the evil
of greed &amp;avarice.</t>
  </si>
  <si>
    <t>“One should be truthful, not impudent,
without hypocrisy, devoid of divisive speech.
Without anger, a muni should cross over
the evil of greed and miserliness.</t>
  </si>
  <si>
    <t>Truthful and not arrogant,
deceit none, slander, hate,
rid of greed’s evil, avarice
beyond them all’s the sage.</t>
  </si>
  <si>
    <t>In veritable was ye stay, and deceit (re) ye practise not;
To right conduct ye hold on, and double-tongued ye never be.
The fire of anger ye allay, and greed ye break and scatter.
All evil ye abandon and [worldly] cunning ye get rid of</t>
  </si>
  <si>
    <t>niddaṃ tandiṃ sahe thīnaṃ
pamādena na saṃvase
atimāne na tiṭṭheyya
nibbānamanaso naro</t>
  </si>
  <si>
    <t>Sleep, lassitude and sluggishness he should overcome.
He should live without negligence.
A man should not stay with arrogance
if his mind is set upon quenching.</t>
  </si>
  <si>
    <t>Prevail over sleepiness, sloth, and drowsiness,
don’t abide in negligence,
A person intent on quenching
would not stand for arrogance.</t>
  </si>
  <si>
    <t>He should conquer drowsiness,
weariness, sloth;
shouldn’t consort with heedlessness,
shouldn’t stand firm in his pride—
the man with his heart set
on unbinding.</t>
  </si>
  <si>
    <t>“One should vanquish sleepiness, torpor, and dullness;
one should not keep company with heedlessness.
A person whose mind is set on nibbāna
should not persist in arrogance.</t>
  </si>
  <si>
    <t>Not sleepy, drowsy, slothful not,
living not with negligence,
taking no stand on arrogance:
that mind inclines to Nibbana.</t>
  </si>
  <si>
    <t>Drowsiness ye give up and sleepiness ye abandon;
With carelessness never ye do yourself conduct.
Egotism to be detested, never do ye cherish,
And ever think of the Void, where everything must
cease</t>
  </si>
  <si>
    <t>mosavajje na nīyetha
rūpe snehaṃ na kubbaye
mānañca parijāneyya
sāhasā virato care</t>
  </si>
  <si>
    <t>He should not be led into falsehood.
He should not have affection for form.
Conceit he should completely know
and fare restrained from violence.</t>
  </si>
  <si>
    <t>Don’t be led into lying,
or get caught up in fondness for form.
Completely understand conceit,
and desist from hasty conduct.</t>
  </si>
  <si>
    <t>He shouldn’t engage in lying,
shouldn’t create affection for form,
should fully fathom conceit,
and live refraining from impulsiveness;</t>
  </si>
  <si>
    <t>“One should not be led into false speech;
one should not engender affection for form.
One should fully understand conceit,
and one should refrain from rashness.</t>
  </si>
  <si>
    <t>Be not into lying led,
for forms have no affection,
know thoroughly conceit,
violence avoid fare thus.</t>
  </si>
  <si>
    <t>Into words of falsehood, never let yourself be dragged;
To comely forms that ye meet with, never do ye submit;
That egotism ye [yourself] know, without being
attached;
For, when you are overcome  by playful attachment.
Search for Knowledge will be difficult [for you</t>
  </si>
  <si>
    <t>15.10.</t>
  </si>
  <si>
    <t>purāṇaṃ nābhinandeyya
nave khantiṃ na kubbaye
hiyyamāne na soceyya
ākāsaṃ na sito siyā</t>
  </si>
  <si>
    <t>He should not take delight in the old,
he should not show liking for the new.
When things vanish he does not grieve.
He should not stay stuck to his situation.</t>
  </si>
  <si>
    <t>Don’t relish the old,
or welcome the new.
Don’t grieve for what is running out,
or get attached to things that pull you in.</t>
  </si>
  <si>
    <t>shouldn’t delight in what’s old,
prefer what’s new,5
grieve over decline,
get entangled in
what’s dazzling &amp;bright.6</t>
  </si>
  <si>
    <t>“One should not delight in the old;
one should not form a liking for the new.
One should not sorrow over what is diminishing;
one should not be attached to an attraction.</t>
  </si>
  <si>
    <t>Delight not in the past,
nor be content with newness,
sad not with disappearance,
nor crave for the attractive.</t>
  </si>
  <si>
    <t>Ties of old ye abandon, and brood them not over,
And of relations in future hold no hopes [high] ;
Seeing things in the present vanish, ye may not grieve;
For though there be four oceans [vast], they may soon
vanish</t>
  </si>
  <si>
    <t>gedhaṃ brūmi mahoghoti
ājavaṃ brūmi jappanaṃ
ārammaṇaṃ pakappanaṃ
kāmapaṅko duraccayo</t>
  </si>
  <si>
    <t>Greed I call the great flood;
its forward flow I call yearning.
The support is the forming of intentions.21
The mire of sensuality is hard to cross</t>
  </si>
  <si>
    <t>Greed, I say, is the great flood,
and longing is the current—
the basis, the compulsion,
the swamp of sensuality so hard to get past.</t>
  </si>
  <si>
    <t>I call greed
a great flood;
hunger, a swift current.
Preoccupations are ripples;
sensuality, a bog
hard to cross over.</t>
  </si>
  <si>
    <t>“I call greed the great flood,
I call longing the rapids,
the basis, compulsion,219
the swamp of sensuality hard to overcome.</t>
  </si>
  <si>
    <t>Greed I say’s “the great flood”,
its torrent the rush of lust,
lust’s objects an imagining,
the swamp of lust is hard to cross.</t>
  </si>
  <si>
    <t>The greed, I say, is an evil, powerful and great; ,
If you are overcome by the flood of heresy, then get
yourself free from doubt.
The attachments ye think over, with causes and conditions;
The mire of craving ye break through, though hard
to be free from</t>
  </si>
  <si>
    <t>saccā avokkamma muni
thale tiṭṭhati brāhmaṇo
sabbaṃ so paṭinissajja
sa ve santoti vuccati</t>
  </si>
  <si>
    <t>Not deviating from truth, the Muni,
the Brāhmaṇa, stands on high ground.
Having relinquished everything
he indeed is called “peaceful.”</t>
  </si>
  <si>
    <t>The sage never strays from the truth;
the brahman stands firm on the shore.
Having given up everything,
they are said to be at peace.</t>
  </si>
  <si>
    <t>Not deviating from truth,
a sage stands on high ground
: a brahman.
Having relinquished in every way,
he is said to be at peace;</t>
  </si>
  <si>
    <t>“Not deviating from truth, a muni,
a brahmin, stands on high ground.
Having relinquished all,
he is indeed called peaceful.</t>
  </si>
  <si>
    <t>The sage on firm ground stands,
not swayed from truth, a paragon,
having relinquished All,
“peaceful” that one’s called.</t>
  </si>
  <si>
    <t>On firm truth as their vehicle, do the intelligent take their ride,
And presently, do they come to wisdom, from
tribulations freed.
From dangers of rebirth do they guard themselves
quick";
Diligently are they watchful and Peace do they attain</t>
  </si>
  <si>
    <t>sa ve vidvā sa vedagū
ñatvā dhammaṃ anissito
sammā so loke iriyāno
na pihetīdha kassaci</t>
  </si>
  <si>
    <t>He truly is the knower, the one accomplished in knowledge,
having come to know the nature of things independently.
Harmoniously moving about in the world
he does not envy anyone here.</t>
  </si>
  <si>
    <t>They have truly known, they’re a knowledge master,
understanding the teaching, they are independent.
They rightly proceed in the world,
not coveting anything here.</t>
  </si>
  <si>
    <t>having clearly known, he
is an attainer-of-knowledge;
knowing the Dhamma, he’s
independent.
Moving rightly through the world,
he doesn’t envy anyone here.</t>
  </si>
  <si>
    <t>“One who truly is a knower, a Veda-master,
having known the Dhamma, is independent.
Living rightly in the world,
he does not long for anything here.</t>
  </si>
  <si>
    <t>The wise indeed, all wisdom won,
on dharma not dependant,
wanders perfected in this world,
and envies none herein.</t>
  </si>
  <si>
    <t>Having known things, from suffering far has he gone,
Having seen into the Law of the Void, from attachment
doth he desist;
Seeing things rightly, he traverses on road, even and
broad ;
To heresies, one and all, he never gets himself attached</t>
  </si>
  <si>
    <t>yodha kāme accatari
saṅgaṃ loke duraccayaṃ
na so socati nājjheti
chinnasoto abandhano</t>
  </si>
  <si>
    <t>He who has crossed beyond sensuality,
the attachment to the world so hard to overcome,
he neither sorrows nor broods.
For he has cut across the stream and has no bonds.</t>
  </si>
  <si>
    <t>One who has crossed over sensuality here,
the snare in the world so hard to get past,
grieves not, nor hopes;
they’ve cut the strings, they’re no longer bound.</t>
  </si>
  <si>
    <t>Whoever here has gone beyond
sensual passions—
an attachment hard
to transcend in the world—
doesn’t sorrow,
doesn’t fret.
He, his stream8 cut, is free
from bonds.</t>
  </si>
  <si>
    <t>“One here who has crossed over sensual pleasures,
the tie so hard to overcome in the world,
who has cut off the stream, without bonds,
does not sorrow, does not hope.</t>
  </si>
  <si>
    <t>Who sense-desires has crossed beyond,
undone worldly ties
and bondless, cut across the stream,
no longer grieves or broods.</t>
  </si>
  <si>
    <t>The people that -give up desire are very few;
The various lives [ye may pass. through] ye try to attenuate;
Give up, be not merged in and run not after [things of
the world],
With the stream cut off and from fetters being released</t>
  </si>
  <si>
    <t>yaṃ pubbe taṃ visosehi
pacchā te māhu kiñcanaṃ
majjhe ce no gahessasi
upasanto carissasi</t>
  </si>
  <si>
    <t>What was before—let it wither.
Afterwards—let there be nothing.
If you do not grasp in the middle
you will fare as one who has come to peace</t>
  </si>
  <si>
    <t>What came before, let wither away,
and after, let there be nothing.
If you don’t grasp at the middle,
you will live at peace.</t>
  </si>
  <si>
    <t>Burn up what’s before,
and have nothing for after.
If you don’t grasp
at what’s in between,9
you will go about, calm.</t>
  </si>
  <si>
    <t>“Dry up what pertains to the past;
let there be nothing afterward.
If you do not grasp in the middle,
you will live in peace.</t>
  </si>
  <si>
    <t>Let what’s “before” just wither up,
“after” for you be not a thing,
if then “between” you will not grasp,
You will fare at peace.</t>
  </si>
  <si>
    <t>The root of ignorance, from the past persisting, ye sweep away clean;
For its future planting, no nourishment do ye provide;
For its run in the middle, lend no helping hand;
Keep not its company, having all enemies banished</t>
  </si>
  <si>
    <t>sabbaso nāmarūpasmiṃ
yassa natthi mamāyitaṃ
asatā ca na socati
sa ve loke na jīyati</t>
  </si>
  <si>
    <t>In name-and-matter entirely
if there is nothing made mine for him,
and he does not grieve over absence,
he suffers no loss in the world.</t>
  </si>
  <si>
    <t>One who has no sense of ownership
in the whole realm of name and form,
does not grieve for that which is not,
they suffer no loss in the world.</t>
  </si>
  <si>
    <t>For whom, in name-&amp;-form,
in every way,
there’s no sense of mine,
and who doesn’t grieve
over what is not:
He, in the world,
isn’t defeated, suffers no loss.</t>
  </si>
  <si>
    <t>“One who does not claim as ‘mine’
anything at all here in name-and-form,
who does not sorrow over what is nonexistent,
truly does not lose out in the world.</t>
  </si>
  <si>
    <t>For whom with mind-and-bodily forms
there is no “making-mine” at all,
grieves not when they are not,
and suffers here no loss.</t>
  </si>
  <si>
    <t>All name and Form he has already abandoned;
For his possessions, he cherishes no thoughts of
attachment.
‘I possess nothing’ is [a thought] that exists not for
him;
In the whole world, all enmity he has banished</t>
  </si>
  <si>
    <t>yassa natthi idaṃ meti
paresaṃ vāpi kiñcanaṃ
mamattaṃ so asaṃvindaṃ
natthi meti na socati</t>
  </si>
  <si>
    <t>For whom there is not “This is mine”,
nor anything taken as “for others”
He, finding nothing to call mine,
does not grieve “There is not for me”.</t>
  </si>
  <si>
    <t>If you don’t think of anything
as belonging to yourself or others,
not finding anything to be ‘mine’,
you won’t grieve, thinking ‘I don’t have it’.</t>
  </si>
  <si>
    <t>To whom there doesn’t occur
‘This is mine,’
for whom nothing is others’:
He, feeling no sense of mine-ness,
doesn’t grieve at the thought
‘I have nothing.’</t>
  </si>
  <si>
    <t>“One for whom nothing is taken
as ‘this is mine’ or ‘[this belongs] to others,’
not finding anything to be taken as ‘mine,’
does not sorrow, thinking: ‘It is not mine.’</t>
  </si>
  <si>
    <t>For whom there is no “this is mine”
nor no “To others it belongs”,
in whom “myself ” cannot be found,
Grieves not that “I have none”.</t>
  </si>
  <si>
    <t>This little body he never count as his own.
‘The other possessess nothing’ how will he thus reckon ?
‘Nothing do I possess’— [this thought] is also impossible
for him.
‘I possess nothing’—how can this [thought] grieve him?</t>
  </si>
  <si>
    <t>aniṭṭhurī ananugiddho
anejo sabbadhī samo
tamānisaṃsaṃ pabrūmi
pucchito avikampinaṃ</t>
  </si>
  <si>
    <t>Free of harshness and not greedy
he is unmoved and everywhere the same.
I tell you that that is the advantage,
when asked about the unshaken one</t>
  </si>
  <si>
    <t>Not bitter, not fawning,
unstirred, everywhere even;
when asked about one who is unshakable,
I declare that that is the benefit.</t>
  </si>
  <si>
    <t>Not harsh,
not greedy,
not perturbed,11
everywhere
concordant12:
This is the reward
—I say when asked—</t>
  </si>
  <si>
    <t>“Not bitter, not greedy,
without impulse, everywhere the same —
when asked about one who is unshakable,
I call that the benefit.</t>
  </si>
  <si>
    <t>Asked upon one unshakeable,
I tell of this one’s goodness:
Not harsh, not covetous at all,
Steadfast, impartial everywhere.</t>
  </si>
  <si>
    <t>He has already cut off and is free from thoughts of Form;
To everybody is he good and even-minded towards all,
From whatever he has learnt, the instruction doth he
provide;
To whomsoever that comes to ask, with no difidence
doth he reply</t>
  </si>
  <si>
    <t>anejassa vijānato
natthi kāci nisaṅkhati
virato so viyārabbhā
khemaṃ passati sabbadhi</t>
  </si>
  <si>
    <t>For the unmoved knowing one
there is no fabrication.
Abstaining from putting forth effort
he sees safety everywhere.</t>
  </si>
  <si>
    <t>For the unstirred who understand,
there’s no performance of deeds.
Desisting from instigation,
they see sanctuary everywhere.</t>
  </si>
  <si>
    <t>for those who are free
from theorizing.
For one unperturbed
—who knows—
there’s no accumulating.
Abstaining, unaroused,
he everywhere sees security.</t>
  </si>
  <si>
    <t>“For one without impulse, who understands,
there is no activation at all.220
Abstaining from instigation,
he sees security everywhere.</t>
  </si>
  <si>
    <t>For one who’s steadfast, Knows,¹⁸
That one does not accumulate,
Unattached to making effort,
Sees security everywhere.</t>
  </si>
  <si>
    <t>Not from one " does he his wisdom obtain;
The sought and searched by him is a thing not be heard
of (lit. learnt);
Being disgusted, he gives [all] up and remains without
causes and conditions,
And Peace doth he attain, having seen the destruction
of things.</t>
  </si>
  <si>
    <t>15.20.</t>
  </si>
  <si>
    <t>na samesu na omesu
na ussesu vadate muni
santo so vītamaccharo
nādeti na nirassatīti</t>
  </si>
  <si>
    <t>In terms of equality or inferiority
or superiority the Muni does not speak of himself.
Peaceful and free from avarice,
he does not take up, he does not reject.</t>
  </si>
  <si>
    <t>A sage doesn’t speak of themselves as being
among superiors, inferiors, or equals.
Peaceful, rid of stinginess,
they neither take nor reject.</t>
  </si>
  <si>
    <t>The sage doesn’t speak of himself
as among those who are higher, equal, or lower.
At peace, free of stinginess,
he doesn’t embrace, doesn’t
reject,”
the Blessed One said.</t>
  </si>
  <si>
    <t>“The muni does not speak of himself
as among equals, inferiors, or superiors.
Peaceful, without miserliness,
he does not take, does not reject” —
so said the Blessed One.</t>
  </si>
  <si>
    <t>A sage speaks not as though¹⁹
’Mong equal, low or high,
Serene, devoid of avarice,
Does not accept or reject.</t>
  </si>
  <si>
    <t>As superior no haughtiness, or as inferior no cowing-down
Is to be seen [in him]. Nor is he found among his
equals;
In a quiet place doth he stay, with no jealousy or hatred,
And though in a chariot is he seen, no haughtiness doth
[he display</t>
  </si>
  <si>
    <t>SĀRIPUTTA</t>
  </si>
  <si>
    <t xml:space="preserve">To Sariputta </t>
  </si>
  <si>
    <t>na me diṭṭho ito pubbe (iccāyasmā sāriputto)
na suto uda kassaci
evaṃ vagguvado satthā
tusitā gaṇimāgato</t>
  </si>
  <si>
    <t>Never before did I see
or hear about from anyone
such a sweet speaking teacher
come here from Tusita to be the leader of a group</t>
  </si>
  <si>
    <t>Never before have I seen,”
said Venerable Sāriputta,
“or heard from anyone
about a teacher of such graceful speech,
come from Tusita heaven to lead a community.</t>
  </si>
  <si>
    <t>Sāriputta:
“Never before
have I seen or heard
from anyone
of a teacher with such lovely speech
come, together with his following
from Tusita heaven,</t>
  </si>
  <si>
    <t>“I have never before seen,”
(said the Venerable Sāriputta),
“nor have I ever heard it from anyone —
a teacher of such lovely speech,
leader of a group, who has come from Tusita,</t>
  </si>
  <si>
    <t>Not seen before by me,
nor heard by anyone:
such sweetly-spoken Teacher
from Tusita came to lead a group.</t>
  </si>
  <si>
    <t>Never have I seen a person like this,
Nor have I ever heard: of one speaking like this-The Honoured One, the Heavenly person of powers divine,
Who came hitherto from among gods -of Tusita heaven.</t>
  </si>
  <si>
    <t>See also: SN 35:117; SN 35:200; AN 4:28; Thag 3:8; Thag 5:8; Thag 6:2; Thag 18</t>
  </si>
  <si>
    <t>sadevakassa lokassa
yathā dissati cakkhumā
sabbaṃ tamaṃ vinodetvā
ekova ratimajjhagā</t>
  </si>
  <si>
    <t>To the world with its gods
as the one who has eyes appears
he having dispelled all darkness
arrived alone to delight.</t>
  </si>
  <si>
    <t>To all the world with its gods
he appears as a seer
who has dispelled all darkness,
and alone attained to bliss.</t>
  </si>
  <si>
    <t>as the One with Eyes
who appears to the world with its devas,
having dispelled all darkness,
having arrived at delight
all alone.</t>
  </si>
  <si>
    <t>“as the One with Vision is seen
in the world together with its devas.
Having dispelled all darkness,
alone, he achieved delight.</t>
  </si>
  <si>
    <t>One by himself attained to bliss,
all darkness he dispelled,
so that the One-With-Eyes be seen
by world together with the gods.</t>
  </si>
  <si>
    <t>Surrounded by gods and men in the whole world,
Honoured and loved by the same, the very eye incarnate”-
He has nowhere in any way disturbed the peace;
Alone He finds delight in the midst of [all]</t>
  </si>
  <si>
    <t>pali 16 = 14 Chinese 
story is substantially the same</t>
  </si>
  <si>
    <t>taṃ buddhaṃ asitaṃ tādiṃ
akuhaṃ gaṇimāgataṃ
bahūnamidha baddhānaṃ
atthi pañhena āgamaṃ</t>
  </si>
  <si>
    <t>To that awakened one, unattached, Such-like,
not deceitful, being the leader of a group,
for the sake of the many here who are bound
it is that I have come with a question</t>
  </si>
  <si>
    <t>On behalf of the many here still bound,
I have come in need with a question
to that Buddha, unattached and impartial,
free of deceit, come to lead a community.</t>
  </si>
  <si>
    <t>To that One Awakened—
unentangled, Such, un-
deceptive,
come with his following—
I have come desiring a question
on behalf of the many
here who are fettered:</t>
  </si>
  <si>
    <t>“To the Buddha, unattached, impartial,
not a schemer, one who has come as leader of a group,
I have come in need with a question
on behalf of the many here who are bound.</t>
  </si>
  <si>
    <t>One’s who’s “Thus”, the unattached,
that Buddha undeceptive,
with many disciples, devotees,
for them I ask a question.</t>
  </si>
  <si>
    <t>With no trouble, He is awakened to the good that He has
practised;
He has returned to the world to teach His doctrine
For the benefit of the release of mind o_f those with rotten
desire,
So that evil may go and good purpose may be achieved</t>
  </si>
  <si>
    <t xml:space="preserve">different Chinese </t>
  </si>
  <si>
    <t>bhikkhuno vijigucchato
bhajato rittamāsanaṃ
rukkhamūlaṃ susānaṃ vā
pabbatānaṃ guhāsu vā</t>
  </si>
  <si>
    <t>For a monk who is disgusted
and resorts to an empty seat—
the root of a tree, or a cemetery,
or in caves in the mountains;</t>
  </si>
  <si>
    <t>Suppose a mendicant who loathes attachment
frequents a lonely lodging—
the root of a tree, a charnel ground,
on mountains, or in caves.</t>
  </si>
  <si>
    <t>For a monk disaffected,
frequenting a place remote—
the root of a tree,
a cemetery,
in mountain caves</t>
  </si>
  <si>
    <t>“When a bhikkhu is repulsed
and resorts to a solitary seat,
to the foot of a tree or a charnel ground,
or [to a seat] in mountain caves,</t>
  </si>
  <si>
    <t>For a monk avoiding society,
seeking out a lonely place—
bone yards, at the base of trees,
or caves within the mountain wastes</t>
  </si>
  <si>
    <t>The Bhiksu is, in mind, disgusted
\Vhen his afiairs get spoiled, and retires to a solitary seat,
As under a tree, or in a cemetery,
Or deep in mountains, or in the midst of caves.</t>
  </si>
  <si>
    <t>uccāvacesu sayanesu
kīvanto tattha bheravā
yehi bhikkhu na vedheyya
nigghose sayanāsane</t>
  </si>
  <si>
    <t>in such high and low lodgings
how many are the terrors
which a monk should overcome
in his quiet lodging?</t>
  </si>
  <si>
    <t>In these many different lodgings,
how many dangers are there
at which a mendicant in their silent lodging
ought not tremble?</t>
  </si>
  <si>
    <t>various places to stay—
how many are the fears there
at which he shouldn’t tremble
—there in his noiseless abode—</t>
  </si>
  <si>
    <t>“to various sorts of lodgings,
how many fearful things are there
because of which a bhikkhu should not tremble
in a lodging with little noise?</t>
  </si>
  <si>
    <t>Living-places high or low,
How many are the terrors there,
that a monk in his silent place
trembles not at all?</t>
  </si>
  <si>
    <t>In dwellings, located in places, high or low,
How many fears and terrors do there reign [supreme]?-
Those from which a Bhilt-.§u will never have any fear,
For any length of time, in his place of work?</t>
  </si>
  <si>
    <t>katī parissayā loke
gacchato agataṃ disaṃ
ye bhikkhu abhisambhave
pantamhi sayanāsane</t>
  </si>
  <si>
    <t>How many are the difficulties in the world
for one going in the direction never gone before
which a monk should overcome
in his remote lodging?</t>
  </si>
  <si>
    <t>On their journey to the untrodden place,
how many adversities are there in the world
that must they overcome
in their remote lodging?</t>
  </si>
  <si>
    <t>how many the dangers in the world
for the monk going the direction
he never has gone
over which he should prevail
there in his isolated abode?</t>
  </si>
  <si>
    <t>“How many obstacles in the world
confront one going to the untraveled region,221
[obstacles] that a bhikkhu must overcome
when living in a remote lodging?</t>
  </si>
  <si>
    <t>How many are the troubles here
for a monk to overcome,
while living in a place remote,
or going to the Ungone-Point.</t>
  </si>
  <si>
    <t>How many sounds do [assail] him in this world
As he goes and comes over all directions [wide]?-— '
The sounds to which he pays no heed in his dwelling
. plaoes—
The places where he stays -in, calm and with no noise“?</t>
  </si>
  <si>
    <t>kyāssa byappathayo assu
kyāssassu idha gocarā
kāni sīlabbatānāssu
pahitattassa bhikkhuno</t>
  </si>
  <si>
    <t>What ways of speech should there be for him?
Which resorts should he have here?
And what virtue and practice should there be
for the monk who is well-decided?</t>
  </si>
  <si>
    <t>What ways of speech should they have?
Where should they go for alms?
What precepts and vows
should a resolute mendicant uphold?</t>
  </si>
  <si>
    <t>What should be
the ways of his speech?
What should be
his range there of action?
What should be
a resolute monk’s
habits &amp;practices?</t>
  </si>
  <si>
    <t>“What ways of speech should he adopt?
On what resorts here should he rely?
What should be the good behavior and observances
of a bhikkhu who is resolute?</t>
  </si>
  <si>
    <t>What ways of speaking would be his?
What place should he frequent?
What sorts of rules, kinds of vows,
For the monk with mind intent?</t>
  </si>
  <si>
    <t>The words, good or evil, that his mouth has uttered,
'And his spheres of work—how are they shaped?
So also the rules of conduct which he observes and the prac-tices which he gives not up ?
He, the Bhiksu, who learns to seek ways of peace</t>
  </si>
  <si>
    <t>kaṃ so sikkhaṃ samādāya
ekodi nipako sato
kammāro rajatasseva
niddhame malamattano</t>
  </si>
  <si>
    <t>Having taken up what training
being unified in mind, careful, mindful,
would he blow away his impurities
as a smith the dross of silver?</t>
  </si>
  <si>
    <t>Having undertaken what training,
unified, alert, and mindful,
would they purge their own stains,
like a smith smelting silver?”</t>
  </si>
  <si>
    <t>Undertaking what training
— mindful, astute, alone —
would he blow away
his own impurities
as a silver smith,
those in molten silver?”</t>
  </si>
  <si>
    <t>“Having taken up what training,
dwelling unified, judicious, mindful,
should he blow away his own stains
as a smith [removes the flaws] of silver?”</t>
  </si>
  <si>
    <t>What is the training he adopts,
one-pointed, mindful, wise;
to blow away all blemishes,
as does a smith with silver?</t>
  </si>
  <si>
    <t>What rules of conduct does he learn without leakage?-
He, in his practices, alone, with companions none,
Desiring to remove darkness, the eye of light he seeks;
And he wishes by working the bellows to -blow out the im-purities within.</t>
  </si>
  <si>
    <t>vijigucchamānassa yadidaṃ phāsu (sāriputtāti bhagavā)
rittāsanaṃ sayanaṃ sevato ce
sambodhikāmassa yathānudhammaṃ
taṃ te pavakkhāmi yathā pajānaṃ</t>
  </si>
  <si>
    <t>If one is disgusted and resorts to an empty seat and lodging
and intent on awakening—then about what will be for his ease
I shall tell you according to the Dhamma
as I have understood it.</t>
  </si>
  <si>
    <t>“If one who loathes attachment frequents a lonely lodging,”
said the Buddha to Sāriputta,
“in their search for awakening—as accords with the teaching—
I shall tell you, as I understand it,
what is comfortable for them.</t>
  </si>
  <si>
    <t>The Buddha:
“I will tell you
as one who knows,
what is comfort
for one disaffected
if he’s resorting to a place remote,
desiring self-awakening
in line with the Dhamma.</t>
  </si>
  <si>
    <t>“As one who understands I will tell you
in accordance with the Dhamma,
(Sāriputta,” said the Blessed One),
“what is comfortable for one who is repulsed,
if, wishing for enlightenment,
he resorts to a solitary lodging.</t>
  </si>
  <si>
    <t>As One who Knows I’ll explain to you,
what’s pleasant for you practicing avoidance,²¹
who live and who rest in a lonely abode,
wishing Awakening in keeping with Dharma</t>
  </si>
  <si>
    <t>The Buddha said to Sariputra: “Of him who has likes and
dislikes“ and of him who desires to learn “ in solitary dwelling places, according to Law, I should like to let you know. ‘I say it
and you listen to it:</t>
  </si>
  <si>
    <t>16.10.</t>
  </si>
  <si>
    <t>pañcannaṃ dhīro bhayānaṃ na bhāye
bhikkhu sato sapariyantacārī
ḍaṃsādhipātānaṃ sarīsapānaṃ
manussaphassānaṃ catuppadānaṃ</t>
  </si>
  <si>
    <t>Five fears a wise man should not fear,
a monk who is mindful and fares within the limits:
gadflies, mosquitoes and creeping things
four-footed beasts and harassments from humans.</t>
  </si>
  <si>
    <t>A wise one, a mindful mendicant living on the periphery
should not be afraid of five perils:
flies, mosquitoes, snakes,
human contact, or four-legged creatures.</t>
  </si>
  <si>
    <t>An enlightened monk,
living circumscribed,
mindful,
shouldn’t fear the five fears:
of horseflies, mosquitoes, snakes,
human contact, four-footed beings;</t>
  </si>
  <si>
    <t>“A wise one, a mindful bhikkhu of bounded conduct,
should not be afraid of five perils:
gadflies and other flies, creeping serpents,
encounters with people, four-footed animals,</t>
  </si>
  <si>
    <t>Within limits the mindful monk practices,
then of five fears is this wise one not afraid:
March-flies and mosquitoes, of slithering snakes,
of men’s assaults, and fierce four-footed beasts.</t>
  </si>
  <si>
    <t>The wise may not take fright of the fears five;
With the mindfulness alert is the student away from desires;
With firmness he endures the [bites of] mosquitoes and
reptiles,
And the evil word of men and [the assaults of] the four-footed animals.</t>
  </si>
  <si>
    <t>paradhammikānampi na santaseyya
disvāpi tesaṃ bahubheravāni
athāparāni abhisambhaveyya
parissayāni kusalānuesī</t>
  </si>
  <si>
    <t>He should not be terrified by sectarians
even after having seen their many terrors.
And further he should overcome
the obstacles, seeking what is skillful.</t>
  </si>
  <si>
    <t>Nor should they fear followers of other teachings,
even having seen the many threats they pose.
And then one seeking the good
should overcome any other adversities.</t>
  </si>
  <si>
    <t>shouldn’t be fazed
by those following another’s teaching
even on seeing their manifold
threats;
should prevail over still other
further dangers
as he seeks what is skillful.</t>
  </si>
  <si>
    <t>“nor should he fear followers of other teachings,
even when he sees the many fears they pose.
One seeking the good should conquer
any other obstacles [he encounters].</t>
  </si>
  <si>
    <t>Nor be disturbed by those with differing Dharma,
even having seen their many perils,
further then, this seeker of the good
will overcome all fearfulness too.</t>
  </si>
  <si>
    <t>the doctrines not his own, he pays no heed-the doctrine
Of what is without colour or sound or light or form
All such he disowns, having tolerance and equanimity for
them all;
When you hear good [report] about villages and towns,
have no greed for them.</t>
  </si>
  <si>
    <t>ātaṅkaphassena khudāya phuṭṭho
sītaṃ athuṇhaṃ adhivāsayeyya
so tehi phuṭṭho bahudhā anoko
vīriyaṃ parakkammadaḷhaṃ kareyya</t>
  </si>
  <si>
    <t>Contacted by the pain of disease and by hunger
he should tolerate it, and also the cold and the hot.
Being contacted by these in many ways, the homeless one
with persisting energy should make firm.</t>
  </si>
  <si>
    <t>Afflicted by illness and hunger,
they should endure cold and excessive heat.
Though afflicted by many such things, the homeless one
should exert energy, firmly striving.</t>
  </si>
  <si>
    <t>Touched by the touch
of disease, hunger,
he should endure cold
&amp;inordinate heat.
He with no home,
in many ways touched by these things,
striving, should make firm his persistence.</t>
  </si>
  <si>
    <t>“Afflicted by illness and hunger,
he should endure cold and excessive heat.
The homeless one, affected by these in many ways,
should remain firm, exerting energy.</t>
  </si>
  <si>
    <t>Afflicted by sicknesses, hunger as well,
the cold and strong heat he should endure,
by these many touches should he be unmoved,
having energy stirred and striving with strength.</t>
  </si>
  <si>
    <t>If one suffers from pains which the body cannot endure,
And if of each one may be afraid, still he must endure
them all.
If these pains are diificult to endure,
One with firmness must put up a resistance stiff.</t>
  </si>
  <si>
    <t>theyyaṃ na kāre na musā bhaṇeyya
mettāya phasse tasathāvarāni
yadāvilattaṃ manaso vijaññā
kaṇhassa pakkhoti vinodayeyya</t>
  </si>
  <si>
    <t>He should not commit theft nor speak falsehood.
With friendship he should touch both weak and strong creatures.
Whatever stirring up of the mind he should come to know
he should dispel it, thinking “It is on the Dark One’s side”.</t>
  </si>
  <si>
    <t>They must not steal or lie;
and should touch creatures firm or frail with love.
If they notice any clouding of the mind,
they should dispel it as Māra’s ally.</t>
  </si>
  <si>
    <t>He shouldn’t commit a theft,
shouldn’t speak a lie,
should touch with thoughts of goodwill
beings firm &amp;infirm.
Conscious of when
his mind is stirred up &amp;turbid,
he should dispel it:
‘It’s on the side
of the Dark One.’</t>
  </si>
  <si>
    <t>“He should not commit theft or speak falsely;
he should suffuse the frail and firm with loving-kindness.
If he should recognize any blemish of the mind,
he should dispel it as ‘a faction of the Dark One.’</t>
  </si>
  <si>
    <t>Neither should he steal, nor should he tell lies,
but let love suffuse the fearful and the unafraid,
and when his mind is agitated let him know
“This should be removed”—it’s on the Dark One’s side</t>
  </si>
  <si>
    <t>Take only that which is proper and give without cheating;
Show compassion [to beings], with no hatred
For those ye consider as opposed. Have equanimity for them,
And seek purity by getting free from darkness of ignorance.</t>
  </si>
  <si>
    <t>kodhātimānassa vasaṃ na gacche
mūlampi tesaṃ palikhañña tiṭṭhe
athappiyaṃ vā pana appiyaṃ vā
addhābhavanto abhisambhaveyya</t>
  </si>
  <si>
    <t>He should not go under the influence of anger and arrogance.
Cutting off their very root he should stay.
And then the liked and the disliked
he should overcome to the full extent.</t>
  </si>
  <si>
    <t>They must not fall under the sway of anger or arrogance;
having dug them out by the root, they would stand firm.
Then, withstanding likes and dislikes,
they would overcome.</t>
  </si>
  <si>
    <t>He shouldn’t come under the sway
of anger or pride.
Having dug up their root
he would stand firm.
Then, when prevailing
—yes—
he’d prevail over notions of dear &amp;undear.</t>
  </si>
  <si>
    <t>“He should not come under the control of anger and arrogance,
but should dig them up by their root too.
Then, withstanding the pleasing and displeasing,
he should conquer them as well.</t>
  </si>
  <si>
    <t>Into the power of anger and of arrogance
he shouldn’t fall, but firm, eradicate their roots,
all being attached he overcomes complete,
all that is dear to him, all that repels.</t>
  </si>
  <si>
    <t>When [evil] thoughts of ease come, do ye never submit to them.
The roots of evil ye dig out and destroy them.
Things may be lovable, or unlovable as well;
Overpower them, and have no hankering for them again.</t>
  </si>
  <si>
    <t>paññaṃ purakkhatvā kalyāṇapīti
vikkhambhaye tāni parissayāni
aratiṃ sahetha sayanamhi pante
caturo sahetha paridevadhamme</t>
  </si>
  <si>
    <t>Putting wisdom in front, with joy for the skillful,
he should push away those obstacles.
He should overcome non-delight for a remote lodging.
He should conquer the four lamentation-causing thoughts.</t>
  </si>
  <si>
    <t>Putting wisdom in the foremost place, rejoicing in goodness,
they would put an end to those adversities.
They’d vanquish discontent in their remote lodging.
And they’d vanquish the four lamentations:</t>
  </si>
  <si>
    <t>Deferring to discernment
enraptured with what’s admirable,
he should overcome these dangers,
should conquer discontent
in his isolated spot,
should conquer these four thoughts of lament:</t>
  </si>
  <si>
    <t>“Giving precedence to wisdom, rejoicing in the good,
he should suppress those obstacles.
He should vanquish discontent with remote lodgings;
he should vanquish the four factors of lamentation.</t>
  </si>
  <si>
    <t>With wisdom esteemed, with joy purified,
removing supports for all fearfulnesses,
let him conquer dislike for his lone lodging-place,
and conquer the four that cause him to lament:</t>
  </si>
  <si>
    <t>Guided by wise thoughts that are well-matured,
All rough sounds ye avoid, being far from them.
Endure discontent and sit in your dwelling [selected].
These four things which are subjects of pity, ye do endure:</t>
  </si>
  <si>
    <t>kiṃsū asissāmi kuva vā asissaṃ
dukkhaṃ vata settha kvajja sessaṃ
ete vitakke paridevaneyye
vinayetha sekho aniketacārī</t>
  </si>
  <si>
    <t>“What shall I eat?”—“Where shall I eat?”
“I slept uneasily”—“Where shall I sleep tonight?”
These thoughts causing lament
the one in training should dismiss.</t>
  </si>
  <si>
    <t>‘What will I eat? Where will I eat?
Oh, I slept badly! Where will I sleep?’
The trainee, the homeless migrant,
would dispel these lamentable thoughts.</t>
  </si>
  <si>
    <t>‘What will I eat,
or where will I eat?
How badly I slept.
Tonight where will I sleep?’
These lamenting thoughts
he should subdue—
one under training,
wandering without home.</t>
  </si>
  <si>
    <t>‘What will I eat? Where will I eat?
Alas, I slept badly! Where will I sleep?’:
one in training, wandering without abode,
should remove these thoughts of lamentation.</t>
  </si>
  <si>
    <t>“Alas, what shall I eat” and “where indeed eat it”,
“last night l slept badly” and “where sleep today”—
one-in-training, a wanderer, of no flag the follower
should such thoughts let go, leading to lamentation.</t>
  </si>
  <si>
    <t>“Where shall I all time dwell? Where shall I eat?
I am afraid there will be pain; how shall I stay?”-
Having such thoughts, exciting pity in the extreme,
The learner doth abandon them, moving far [from the house.</t>
  </si>
  <si>
    <t>annañca laddhā vasanañca kāle
mattaṃ so jaññā idha tosanatthaṃ
so tesu gutto yatacāri gāme
rusitopi vācaṃ pharusaṃ na vajjā</t>
  </si>
  <si>
    <t>Having received food and clothes at the right time,
he should know the measure for the purpose of contentment.
Guarded in these and faring with restraint in the village
even provoked he should not speak harsh words.</t>
  </si>
  <si>
    <t>Receiving food and clothes in due season,
they would know moderation for the sake of contentment.
Guarded in these things, walking restrained in the village,
they wouldn’t speak harshly even when provoked.</t>
  </si>
  <si>
    <t>Receiving food &amp;cloth
at appropriate times,
he should have a sense of enough
for the sake of contentment.3
Guarded in regard to these things
going restrained into a village,
even when harassed
he shouldn’t say a harsh word.</t>
  </si>
  <si>
    <t>“Having obtained a meal and clothing in time,
he should know moderation for the sake of contentment here.
Guarded in these things,222 wandering restrained in the village,
even when provoked, he should not utter harsh speech.</t>
  </si>
  <si>
    <t>Satisfied, receiving timely food and clothes,
knowing moderation in them, and
protected by them, in a village he’s restrained
though roughly he’s addressed, speaks no harsh words.</t>
  </si>
  <si>
    <t>Whether ye have or not things ye hate or covet, ye will suffer. your measure ye know. Having taken just enough, ye stop.
Have the ears closed, while through the country ye move.
No rough or evil words they may expect from you.</t>
  </si>
  <si>
    <t>okkhittacakkhu na ca pādalolo
jhānānuyutto bahujāgarassa
upekkhamārabbha samāhitatto
takkāsayaṃ kukkucciyūpachinde</t>
  </si>
  <si>
    <t>With downcast eyes and not restless on his feet
he should be devoted to meditation and be very wakeful.
Basing himself on equanimity, self-composed,
he should cut off habitual thoughts that lead to worry.</t>
  </si>
  <si>
    <t>Eyes downcast, not footloose,
devoted to absorption, they’d be very wakeful. 
Grounded in equanimity, serene,
they should cut off worrisome habits of thought.</t>
  </si>
  <si>
    <t>With eyes downcast,
&amp;not footloose,
committed to jhāna,
he should be continually wakeful.4
Arousing equanimity,
centered within,
he should cut off any penchant
to conjecture or worry.</t>
  </si>
  <si>
    <t>“His eyes should be downcast;
he should not have restless feet;
intent on jhāna, he should be wakeful.
Inwardly concentrated, based on equanimity,
he should cut off regret and inclination to thought.</t>
  </si>
  <si>
    <t>With eyes cast down, feet not longing-guided,
to jhāna devoted, very watchful he should be,
let him grow in equanimity with mind composed,
check his scruples, how he inclines to doubt</t>
  </si>
  <si>
    <t>When your eyes ye lift up, do not flightily look flrollnd;
In meditation be steeped, and be not much given to sleep;
Reflect upon causes and conditions and think of the peace-ful state;
Dwell in thoughts of peace, having cut oif all thoughts of
doubt.</t>
  </si>
  <si>
    <t>cudito vacībhi satimābhinande
sabrahmacārīsu khilaṃ pabhinde
vācaṃ pamuñce kusalaṃ nātivelaṃ
janavādadhammāya na cetayeyya</t>
  </si>
  <si>
    <t>Reproved with words he should mindfully accept them.
He should break up the barrenness regarding fellow monks.
He should release speech that is skillful but not for too long.
He should not intend for what leads to talk among people.</t>
  </si>
  <si>
    <t>A mindful one should welcome repoach,
breaking up hard-heartedness towards their spiritual companions.
They may utter skillful speech, but not for too long,
and they shouldn’t provoke people to blame.</t>
  </si>
  <si>
    <t>When reprimanded with words,
he should—mindful—
rejoice;5
should smash any rigidity
toward his fellows in the holy life;
should utter skillful words
that are not untimely;
should give no mind
to the gossip people might say.</t>
  </si>
  <si>
    <t>“If reproached with words, a mindful one should welcome them;
he should break through a barren heart toward fellow monastics.
He should utter wholesome speech, but not to excess;
he should not intend [speech] that people might blame.</t>
  </si>
  <si>
    <t>With words of reproof let the mindful one rejoice,
and shatter his scorn for his fellow-celibates;
and utter skilful words at the proper time,
and think not upon views and beliefs of common folk.</t>
  </si>
  <si>
    <t>If you are abused, brood it not over;
Let words of hate towards companions [in holy life] vanish.
Release a stream of words, gentle like water,
And to things of which you will be ashamed, let not your
mind incline.</t>
  </si>
  <si>
    <t>16.20.</t>
  </si>
  <si>
    <t>athāparaṃ pañca rajāni loke
yesaṃ satīmā vinayāya sikkhe
rūpesu saddesu atho rasesu
gandhesu phassesu sahetha rāgaṃ</t>
  </si>
  <si>
    <t>20.  Moreover, there are five sorts of dust in the world
for the dispelling of which he should train mindfully:
passion for forms, sounds and tastes,
smells and contacts, he should overcome.</t>
  </si>
  <si>
    <t>And there are five more taints in the world,
for the removal of which the mindful one should train,
vanquishing desire for sights,
sounds, flavors, smells, and touches.</t>
  </si>
  <si>
    <t>And then there are in the world
the five kinds of dust
for whose subduing, mindful,
he should train:
With regard to forms, sounds, tastes,
smells, &amp;tactile sensations
he should conquer passion;</t>
  </si>
  <si>
    <t>“Further, there are five kinds of dust in the world,
for the removal of which a mindful one should train.
One should vanquish lust for forms and sounds,
for tastes, odors, and tactile objects.</t>
  </si>
  <si>
    <t>And then in the world, there are the dusty five
in which the mindful one guided, trains himself well,
lust overcoming to bodies and to sounds,
to tastes, to perfumes and touches too</t>
  </si>
  <si>
    <t>If, by others, you are highly regarded and respected,
Keep a watchful mind; get away and do not accept it.
If there are forms, sounds or good tastes,
Smells and fine objects of contact-craving for these ye
give up.</t>
  </si>
  <si>
    <t>etesu dhammesu vineyya chandaṃ
bhikkhu satimā suvimuttacitto
kālena so sammā dhammaṃ parivīmaṃsamāno
ekodibhūto vihane tamaṃ soti</t>
  </si>
  <si>
    <t>Having dispelled passion for these things
a monk mindful with well-freed mind,
at the right time investigating the Dhamma,
and having become unified, he might destroy the darkness</t>
  </si>
  <si>
    <t>Having removed desire for these things, 
a mindful mendicant, their heart well freed,
rightly investigating the Dhamma in good time, 
unified, would shatter the darkness."</t>
  </si>
  <si>
    <t>he should subdue his desire.
A monk, mindful,
his mind well-released,
contemplating the right Dhamma
at the right times,
on coming
to oneness6
should annihilate
darkness,”
the Blessed One said.</t>
  </si>
  <si>
    <t>“A bhikkhu who is mindful, well liberated in mind,
should remove desire for these things. [189]
At the proper time rightly investigating the Dhamma,
unified, he should destroy darkness” —
so said the Blessed One.</t>
  </si>
  <si>
    <t>And when in these things he has subdue  desire,
mindful, that bhikkhu of a well-liberated mind,
then he in due time thoroughly examining Dharma,
with mind become one he shall the darkness rend.</t>
  </si>
  <si>
    <t>For these things, cherish no attachment;
Ye, a mindful student", be well-released;
With proper reflection, have a just knowledge of the
Law.
Being alone, do smite o fithe darkness that doth already
exist</t>
  </si>
  <si>
    <t>Pārāyanavagga:
The Way to the Beyond</t>
  </si>
  <si>
    <t>Expert in pali poetry</t>
  </si>
  <si>
    <t>Ven. Ānandajoti</t>
  </si>
  <si>
    <t>5:1  Ajita’s</t>
  </si>
  <si>
    <t>“Avijjāya nivuto loko;
 Vevicchā pamādā;
Jappābhilepanaṁ brūmi,
Dukkhamassa mahabbhayaṁ”</t>
  </si>
  <si>
    <t>“The world is shrouded by ignorance,
“It does not shine because of avarice and heedlessness.
I say that hankering is its adhesive.
Suffering is its great peril.”</t>
  </si>
  <si>
    <t>With ignorance
the world is shrouded.
Because of stinginess,
heedlessness,
it doesn’t shine.
With longing it’s smeared
Suffering-stress: its great danger &amp;fear.</t>
  </si>
  <si>
    <t>“The world is enveloped by ignorance, because of heedlessness and meanness it does not become clear. Hunger is its defilement, I say; suffering is the world's great fear.”</t>
  </si>
  <si>
    <t>The world is shrouded in ignorance. 
Avarice and negligence make it not shine.
Prayer is its tar pit.
Suffering is its greatest fear</t>
  </si>
  <si>
    <t>“Yāni sotāni lokasmiṁ
Sati tesaṁ nivāraṇaṁ
Sotānaṁ saṁvaraṁ brūmi, 
Paññāyete pidhiyyare”.</t>
  </si>
  <si>
    <t>“Whatever streams there are in the world,
“mindfulness is the barrier against them.
I speak of this as restraint of the streams.
They are closed off by wisdom.”</t>
  </si>
  <si>
    <t>Whatever streams
there are in the world:
Their blocking is
mindfulness, mindfulness
is their restraint
with discernment
they’re finally stopped.</t>
  </si>
  <si>
    <t>“Whatever streams there are in the world, mindfulness is the constraint for them. That is the restraint for streams, I say; by wisdom they are shut off.”</t>
  </si>
  <si>
    <t>The streams in the world,
are blocked by mindfulness.
I tell you the restraint of streams
they are locked out by wisdom.</t>
  </si>
  <si>
    <t>Yattha nāmañca rūpañca
asesaṁ uparujjhati;
Viññāṇassa nirodhena,
etthetaṁ uparujjhati</t>
  </si>
  <si>
    <t>where name and also form
come to an end without remainder:
it is by the cessation of consciousness
that this here comes to an end.”</t>
  </si>
  <si>
    <t>where name-&amp;-form
are brought to a halt
without trace:
With the cessation of consciousness
they’re brought
to a halt.</t>
  </si>
  <si>
    <t>As to where mind and body ceases without remainder: with the cessation of consciousness, in this place it ceases.”</t>
  </si>
  <si>
    <t xml:space="preserve">
Where name and form
cease with nothing left over—
with the cessation of consciousness
that’s where they cease.</t>
  </si>
  <si>
    <t>5.1
Ajita</t>
  </si>
  <si>
    <t>sekhā puthū idha
Kāmesu nābhigijjheyya
Manasānāvilo siyā
Kusalo sabbadhammānaṁ
Sato bhikkhu paribbaje</t>
  </si>
  <si>
    <t>‘‘One should not be greedy for sensual pleasures;
one should be untarnished in mind.
Skillful in regard to all phenomena,
a bhikkhu should wander mindfully.”</t>
  </si>
  <si>
    <t>those who are learners
should not hanker
for sensual pleasures,
should be limpid in mind.
Skilled in all mental qualities,
he, the monk, should wander
mindfully.</t>
  </si>
  <si>
    <t>“He should not be greedy for sense pleasures, or be disturbed in mind. Being skilful in all things, mindfully the monk should wander.”</t>
  </si>
  <si>
    <t>many kinds of trainees here
“Not greedy for sensual pleasures,
their mind would be unclouded
Skilled in all things
a mendicant would wander mindful.</t>
  </si>
  <si>
    <t>5.2
Tissa Meteyya</t>
  </si>
  <si>
    <t>Kāmesu brahmacariyavā, (metteyyāti bhagavā)
Vītataṇho sadā sato;
Saṅkhāya nibbuto bhikkhu, tassa no santi iñjitā.</t>
  </si>
  <si>
    <t>“One leading the spiritual life among sensual pleasures,
“one without craving, always mindful,
a bhikkhu who is quenched, having comprehended:
for him there is no agitation.</t>
  </si>
  <si>
    <t>He who in the midst of sensualities,
follows the holy life,
always mindful, craving-free;
the monk who is
—through fathoming things—
unbound:</t>
  </si>
  <si>
    <t>“He who is chaste in regard to sense pleasures, free from craving, always mindful, having discernment{17} the monk is emancipated, for him there is no turmoil.</t>
  </si>
  <si>
    <t>Leading the spiritual life among sensual pleasures,” 
replied the Buddha, 
“rid of craving, ever mindful; 
a mendicant who, after assessing, is quenched: 
that’s who has no disturbances</t>
  </si>
  <si>
    <t>So ubhantamabhiññāya, majjhe mantā na lippati;
Taṃ brūmi mahāpurisoti, so idha sibbinimaccagā</t>
  </si>
  <si>
    <t>“Having directly known both ends,
by reflection one does not get stuck in the middle.
I call him a great man:
he has here transcended the seamstress.”</t>
  </si>
  <si>
    <t>He has no agitations. He,
the thinker
knowing both sides,
doesn’t adhere in between. He I call a great person. He
here has gone past
the seamstress:     craving.</t>
  </si>
  <si>
    <t>He is the wise man, who has known both ends, and is undefiled in the middle. He, I say, is a Great Man, he has gone beyond the seamstress here.”</t>
  </si>
  <si>
    <t>that’s who has no disturbances.
That thoughtful one, having known both ends, 
is not stuck in the middle. 
He is a great man, I declare, 
he has escaped the seamstress here.</t>
  </si>
  <si>
    <t>5.3
Punnaka</t>
  </si>
  <si>
    <t>Saṅkhāya lokasmi paroparāni , (puṇṇakāti bhagavā)
Yassiñjitaṃ natthi kuhiñci loke;
Santo vidhūmo anīgho nirāso, atāri so jātijaranti brūmī”</t>
  </si>
  <si>
    <t>“Having comprehended the far and near in the world, (Puṇṇaka,” said the Blessed One),
“one without agitation anywhere in the world,
peaceful, fumeless, untroubled, wishless,
has crossed over birth and old age, I say.”</t>
  </si>
  <si>
    <t>He who has fathomed
the high &amp;low in the world,
for whom there is nothing
perturbing in the world—
evaporated, undesiring,
untroubled, at peace—
he, I tell you, has crossed over birth &amp; aging.</t>
  </si>
  <si>
    <t>“The one who has discerned far and near in the world, who has no turmoil anywhere in the world, who is peaceful, not incensed, troubled, or yearning, he has crossed over birth and old age, I say.”</t>
  </si>
  <si>
    <t>“Having assessed the world high and low,” 
replied the Buddha, 
“there is nothing in the world that disturbs them. 
Peaceful, unclouded, untroubled, with no need for hope—
they’ve crossed over rebirth and old age, I declare.”</t>
  </si>
  <si>
    <t>5.4 Metagu</t>
  </si>
  <si>
    <t>dukkhassa ce maṁ pabhavaṁ apucchasi
taṁ te pavakkhāmi yathā pajānaṁ
upadhinidānā pabhavanti dukkhā
ye keci lokasmimanekarūpā</t>
  </si>
  <si>
    <t>If you have asked me of the origination of unease,
Then I shall explain it to you in accordance with my 
understanding:
Whatever various forms of unease there are in the world,
They originate founded in encumbering accumulation</t>
  </si>
  <si>
    <t>You ask me
the source of stress.
I’ll tell it to you
as one who discerns.
From acquisition1 as cause
the many forms of stress
come into being in the world.</t>
  </si>
  <si>
    <t>“You asked me about the origin of suffering, as I know it I will declare it to you: because of clinging to a basis countless kinds of suffering originate for those who are in the world.</t>
  </si>
  <si>
    <t>“You have rightly asked me of the origin of suffering,” 
replied the Buddha, 
“I shall tell you as I understand it. 
Attachment is the source of suffering 
in all its countless forms in the world.</t>
  </si>
  <si>
    <t>Yo ve avidvā upadhiṃ karoti, punappunaṃ dukkhamupeti mando;
Tasmā pajānaṃ upadhiṃ na kayirā, dukkhassa jātippabhavānupassī</t>
  </si>
  <si>
    <t>“The ignorant dullard who creates acquisition
encounters suffering again and again.
Therefore, understanding, one should not create acquisition,
contemplating it as the genesis and origin of suffering.”</t>
  </si>
  <si>
    <t>Whoever, unknowing,
makes acquisitions
—the dullard—
comes to stress
again &amp;again.
Therefore, discerning,
you shouldn’t create acquisitions
as you stay focused on
the birth &amp;origin of stress.</t>
  </si>
  <si>
    <t>The foolish one without wisdom clings to a basis, and comes to suffering again, the fool. Therefore knowing this, do not cling to a basis, seeing the birth and origin of suffering.”</t>
  </si>
  <si>
    <t>When an ignorant person builds up attachments, 
that idiot returns to suffering again and again. 
So let one who understands not build up attachments, 
contemplating the origin of suffering and rebirth</t>
  </si>
  <si>
    <t>yaṁ kiñci sampajānāsi
uddhaṁ adho tiriyañcāpi majjhe
etesu nandiñca nivesanañca
panujja viññāṇaṁ bhave na tiṭṭhe</t>
  </si>
  <si>
    <t>Whatever you well understand,
Above, below, across, or also at the center,
Having dismissed delight and entrenchment in these things,
Consciousness would not remain established in existence.</t>
  </si>
  <si>
    <t>Whatever you’re alert to,
above, below,
across, in between:
Dispelling any delight,
any entrenchment
in those things,
consciousness should not take a stance
in becoming.</t>
  </si>
  <si>
    <t>“Whatever you know, above, below, and across the middle, dispel the enjoyment of, and settling on, these things, and consciousness, and one will not remain in existence.</t>
  </si>
  <si>
    <t>Once you’ve expelled relishing and dogmatism,” 
replied the Buddha, 
“regarding everything you are aware of—
above, below, all round, between—
having uprooted consciousness, don’t continue in existence</t>
  </si>
  <si>
    <t>5.5
Dhotaka</t>
  </si>
  <si>
    <t>Nāhaṃ sahissāmi pamocanāya, kathaṃkathiṃ dhotaka kañci loke;
Dhammañca seṭṭhaṃ abhijānamāno , evaṃ tuvaṃ oghamimaṃ taresi</t>
  </si>
  <si>
    <t>“I will not be able to free anyone in the world,
Dhotaka, who is still afflicted by perplexity.
But understanding the supreme Dhamma,
you will thereby cross this flood.”</t>
  </si>
  <si>
    <t>No one in the world, Dhotaka,
can I release from perplexity.
But knowing the most excellent Dhamma,
you will cross over this flood.</t>
  </si>
  <si>
    <t>“I am unable to free anyone in the world who is having doubts, Dhotaka, but knowing (Nibbāna), the best thing, in this way you can cross over the flood.”</t>
  </si>
  <si>
    <t>“I am not able to release anyone 
in the world who has doubts, Dhotaka. 
But when you understand the best of teachings, 
you shall cross this flood.”</t>
  </si>
  <si>
    <t>yaṁ kiñci sampajānāsi
uddhaṁ adho tiriyañcāpi majjhe
etaṁ viditvā saṅgoti loke
bhavābhavāya mākāsi taṇhanti</t>
  </si>
  <si>
    <t>Whatever you well understand,
Above, below, across, or also at the center,
Having realized that to be an attachment in the world
Do not work up craving for this or that existence</t>
  </si>
  <si>
    <t>Whatever you’re alert to,
above, below,
across, in between:
Knowing it as a bond in the world,
don’t create craving
for becoming or non-.</t>
  </si>
  <si>
    <t>“Whatever you know, above, below, and across the middle, having understood this is called a shackle in the world, you must not have craving for repeated existence.”</t>
  </si>
  <si>
    <t>Once you have understood that everything,” 
replied the Buddha, 
“you are aware of in the world—
above, below, all round, between—
is a snare, don’t crave for life after life.”</t>
  </si>
  <si>
    <t>5.6
Upasiva</t>
  </si>
  <si>
    <t>ākiñcaññaṁ pekkhamāno satimā
natthīti nissāya tarassu oghaṁ
kāme pahāya virato kathāhi
taṇhakkhayaṁ nattamahābhipassa</t>
  </si>
  <si>
    <t>Beholding nothingness, possessing mindfulness,
Relying upon “It is not,” cross over the flood;
Having abandoned objects of desire, refraining from 
controversies,
Look night and day to the destruction of craving</t>
  </si>
  <si>
    <t>Mindfully focused on nothingness,1
relying on ‘There isn’t,’
you should cross over the flood.
Abandoning sensuality,
abstaining from conversations,
keep watch for the ending of
craving, night &amp;day.</t>
  </si>
  <si>
    <t>“Looking to nothingness, and being mindful, depending on nothing, cross over the flood. Having given up sense pleasures, abstaining from talk, day and night you must look for the end of suffering.”</t>
  </si>
  <si>
    <t>Mindfully contemplating nothingness,” 
replied the Buddha, 
depending on the perception ‘there is nothing’, cross the flood.
Giving up sensual pleasures, refraining from chatter, 
watch day and night for the ending of craving.”</t>
  </si>
  <si>
    <t>sabbesu kāmesu yo vītarāgo
ākiñcaññaṁ nissito hitvā maññaṁ
saññāvimokkhe parame vimutto
tiṭṭheyya so tattha anānuyāyī</t>
  </si>
  <si>
    <t>Whoever is without passion for any objects of desire,
Reliant upon nothingness, having abandoned what is 
extraneous,
Freed, in the highest freedom, from perception,
He would remain established therein, being not a follower</t>
  </si>
  <si>
    <t>One free from passion
for all sensuality
relying on nothingness, letting go of all else,
released in the highest emancipation of perception:
He stays there unaffected.</t>
  </si>
  <si>
    <t>“He who is passionless regarding all sense pleasures, who is depending on nothingness, having given up all else, intent on the highest freedom which still has perception - he will remain there without going away.”</t>
  </si>
  <si>
    <t>One free of all sensual desires,” 
replied the Buddha, 
“depending on nothingness, all else left behind, 
intent on the ultimate liberation of perception: 
they might remain there without travelling on.”</t>
  </si>
  <si>
    <t>accī yathā vātavegena khittā
atthaṁ paleti na upeti saṅkhaṁ
evaṁ munī nāmakāyā vimutto
atthaṁ paleti na upeti saṅkhaṁ</t>
  </si>
  <si>
    <t>Just as a flame tossed by force of wind
Quickly goes to its cessation and subjects not itself to any 
designation,
So the sage released from the mass of names
Quickly goes to his cessation and subjects not himself to any 
designation</t>
  </si>
  <si>
    <t>As a flame overthrown by the force of the wind
goes to an end
that cannot be classified,2
so the sage freed from the name-body3
goes to an end
that cannot be classified.</t>
  </si>
  <si>
    <t>“As a flame overthrown by the force of the wind, goes to rest and can no longer be discerned, just so the sage free from the mental body goes to rest and can no longer be discerned.”</t>
  </si>
  <si>
    <t>As a flame tossed by a gust of wind,” 
replied the Buddha, 
“comes to an end beyond reckoning; 
so too, a sage freed from mental phenomena
comes to an end beyond reckoning.”</t>
  </si>
  <si>
    <t>atthaṅgatassa na pamāṇamatthi
yena naṁ vajjuṁ taṁ tassa natthi
sabbesu dhammesu samohatesu
samūhatā vādapathāpi sabbeti</t>
  </si>
  <si>
    <t>For one who has gone to cessation there is no measuring up;
That which could be told of him no longer exists;
When all ways of thought are removed
All ways of telling are also removed</t>
  </si>
  <si>
    <t>One who has reached the end
has no criterion4
by which anyone would say that—
for him it doesn’t exist.
When all phenomena are done away with,5
all means of speaking
are done away with as well.</t>
  </si>
  <si>
    <t>“There is no measure of the one who has come to rest, there is nothing by which they can speak of him, when everything has been completely removed, all the pathways for speech are also completely removed.”</t>
  </si>
  <si>
    <t>“One who has come to an end cannot be defined,” 
replied the Buddha. 
“They have nothing by which one might describe them. 
When all things have been eradicated, 
eradicated, too, are all ways of speech.”</t>
  </si>
  <si>
    <t>5.7
Nanda</t>
  </si>
  <si>
    <t>na diṭṭhiyā na sutiyā na ñāṇena
munīdha nanda kusalā vadanti
visesikatvā anīghā nirāsā
caranti ye te munayoti brūmi</t>
  </si>
  <si>
    <t>Not by what is seen, not by what is heard, not by knowledge,
Nanda, do adepts say one is a sage here in the world;
I declare them sages who live their lives
Having made themselves at peace, without troubles, without wishes</t>
  </si>
  <si>
    <t>Not on account of his views,
learning,
or knowledge
do the skilled here, Nanda,
call one a sage.
Those who live
disarmed,
undesiring,
untroubled:
Those, I say, are called sages.</t>
  </si>
  <si>
    <t>“Not by view, tradition, or knowledge, do the skilful say one is a sage, Nanda, whoever lives without company, not troubled, not yearning, they are sages, I say.”</t>
  </si>
  <si>
    <t>Experts do not speak of a sage in terms of238 
view, learning, or knowledge. 
Those who are sages live far from the crowd, I say, 
untroubled, with no need for hope.</t>
  </si>
  <si>
    <t>ye kecime samaṇabrāhmaṇāse
diṭṭhassutenāpi vadanti suddhiṁ
sīlabbatenāpi vadanti suddhiṁ
anekarūpena vadanti suddhiṁ
kiñcāpi te tattha yatā caranti
nātariṁsu jātijaranti brūmi</t>
  </si>
  <si>
    <t>Whatever philosophers and holy men there are
Who say that purity is by means of what is seen or heard,
Or who say that purity is by means of morality and observances,
Or who say that purity is by means of various forms,
Although they live their lives disciplined therein
I declare that they have not crossed beyond birth and age</t>
  </si>
  <si>
    <t>Whatever brahmans &amp;contemplatives
describe purity
in terms of views &amp;learning,
describe purity
in terms of habits &amp;practices,
describe purity
in terms of manifold ways:
None of them, living there in that way,
I tell you, have crossed over birth &amp;aging.</t>
  </si>
  <si>
    <t>“Whoever among these ascetics and brahmins, say that purity is through what is seen or heard, say that purity is through virtue and practices, say that purity is through countless other ways, although they are living restrained in this way, they have not crossed over birth and old age, I say.”</t>
  </si>
  <si>
    <t>“As to those ascetics and brahmins,” 
replied the Buddha, 
“who speak of purity in terms of what is seen or heard, 
or in terms of precepts and vows, 
or in terms of countless different things. 
Even though they live self-controlled in that matter, 
they’ve not crossed over rebirth and old age, I declare.”</t>
  </si>
  <si>
    <t>nāhaṁ sabbe samaṇabrāhmaṇāse
jātijarāya nivutāti brūmi
ye sīdha diṭṭhaṁ va sutaṁ mutaṁ vā
sīlabbataṁ vāpi pahāya sabbaṁ
anekarūpampi pahāya sabbaṁ
taṇhaṁ pariññāya anāsavāse
te ve narā oghatiṇṇāti brūmi</t>
  </si>
  <si>
    <t>I do not declare that all philosophers and holy men
Are caught up in birth and age;
Whoever here have left behind what is seen or heard or felt
And all morality and observances,
And have left behind all the various forms (of spiritual practice),
Who have thoroughly understood craving, and are without 
encumbering influences,
Those men I declare to be “crossed over the flood</t>
  </si>
  <si>
    <t>I don’t say that all brahmans &amp;contemplatives
are shrouded in birth &amp;aging.
Those here who’ve abandoned
what’s seen, heard, &amp;sensed,
habits &amp;practices1
—all—
who’ve abandoned their manifold ways
—again, all—
who, comprehending craving,
are effluent-free:
They are the ones, I tell you,
who’ve crossed over the flood.</t>
  </si>
  <si>
    <t>“I do not say that all ascetics and brahmins, are enveloped in birth and old age: whoever here has given up reliance on what is seen, heard, or sensed, and virtue and practices, and has also given up all the countless other ways, who, by fully knowing craving, are pollutant-free - I say those men have crossed over the flood.”</t>
  </si>
  <si>
    <t>I don’t say that all ascetics and brahmins,” 
replied the Buddha, 
“are shrouded by rebirth and old age. 
There are those here who have given up all 
that is seen, heard, and thought, and precepts and vows, 
who have given up all the countless different things. 
Fully understanding craving, free of defilements, 
those people, I say, have crossed the flood.</t>
  </si>
  <si>
    <t>5.8
Hemaka</t>
  </si>
  <si>
    <t>idha diṭṭhisutamutaviññātesu
piyarūpesu hemaka
chandarāgavinodanaṁ
nibbānapadamaccutaṁ</t>
  </si>
  <si>
    <t>Herein, Hemaka, the removing of inclination and passion
Toward what is seen, heard, felt, or cognized
Among beloved forms
Is the unchanging state of Blowing Out (Nirvana</t>
  </si>
  <si>
    <t>Here, Hemaka,
with regard to things dear
—seen, heard, sensed, &amp;cognized—
there is:
the dispelling of passion &amp;desire,
the unfallen, undying1 state of unbinding.
Those knowing this, mindful,
fully unbound
in the here-&amp;-now,
are always2 calmed,
have crossed over beyond
entanglement in the world.</t>
  </si>
  <si>
    <t>“In regard to likeable forms seen, heard, sensed, and cognized, Hemaka, the dispelling of desire and passion for them - this is the undying Nibbāna. Knowing this, those who are mindful, who are Emancipated in this very life, those who are always peaceful, have crossed over clinging to the world.”</t>
  </si>
  <si>
    <t>The removal of desire and lust, Hemaka, 
for what is seen, heard, thought, or cognized here; 
for anything liked or disliked, 
is extinguishment, the imperishable state.
Those who have fully understood this, mindful, 
are extinguished in this very life. 
Always at peace, 
they’ve crossed over clinging to the world</t>
  </si>
  <si>
    <t>5.9
Todeya</t>
  </si>
  <si>
    <t>yasmiṁ kāmā na vasanti
taṇhā yassa na vijjati
kathaṁkathā ca yo tiṇṇo
vimokkho tassa nā paro</t>
  </si>
  <si>
    <t>In whom no sensual desires dwell,
And with whom no craving is present,
And who has crossed beyond brooding uncertainty—
For him there is no freedom other than this</t>
  </si>
  <si>
    <t>One in whom
no sensualities dwell;
in whom
no craving is found;
who has crossed over perplexity—
his emancipation
is not other than that.1</t>
  </si>
  <si>
    <t>“He who has no sense desires, he in whom no craving is found, he who has crossed beyond doubts, there is no further freedom for him.”</t>
  </si>
  <si>
    <t>“In whom sensual pleasures do not dwell,” 
replied the Buddha, 
“and for whom there is no craving, 
and who has crossed over doubts—
their liberation is none other than this</t>
  </si>
  <si>
    <t>nirāsaso so na ca āsasāno
paññāṇavā so na ca paññakappī
evampi todeyya muniṁ vijāna
akiñcanaṁ kāmabhave asattanti</t>
  </si>
  <si>
    <t>He is without wishes, and is not aspiring (for anything);
He is replete with understanding, and is not cultivating 
understanding;
And thus, Todeyya, may you recognize a sage
Possessing nothing, unattached to sensuality and existence</t>
  </si>
  <si>
    <t>He’s without desire,
not desiring;
discerning,
not still acquiring discernment.
Recognize the sage, Todeyya,
as havingnothing,
unentangled
in sensuality
&amp;becoming.</t>
  </si>
  <si>
    <t>“He is without yearning, he is not still yearning. He is wise, he is not still acquiring wisdom. Know that the sage is just like this, Todeyya: he has nothing, and is not clinging to sense-existence.”</t>
  </si>
  <si>
    <t>They are free of hope, they are not in need of hope. 
They possess wisdom, they are not still forming wisdom. 
That, Todeyya, is how to understand a sage, 
one who has nothing, unattached to sensual life.</t>
  </si>
  <si>
    <t>5.10
Kappa</t>
  </si>
  <si>
    <t>Majjhe sarasmiṃ tiṭṭhataṃ, (kappāti bhagavā)
Oghe jāte mahabbhaye;
Jarāmaccuparetānaṃ, dīpaṃ pabrūmi kappa te.
1100.“Akiñcanaṃ anādānaṃ, etaṃ dīpaṃ anāparaṃ;
Nibbānaṃ iti naṃ brūmi, jarāmaccuparikkhayaṃ.
1101.“Etadaññāya ye satā, diṭṭhadhammābhinibbutā;
Na te māravasānugā, na te mārassa paddhagū</t>
  </si>
  <si>
    <t>“For those standing in the midst of the stream,
(Kappa,” said the Blessed One),
“when a perilous flood has arisen,
for those oppressed by old age and death,
let me declare an island to you. (2)
1094. “Owning nothing, taking nothing:
this is the island with nothing further.
I call this ‘nibbāna,’
the extinction of old age and death. (3)
1095. “Having understood this, those mindful ones
are quenched in this very life.
They do not come under Māra’s control,
nor are they Māra’s footmen.”</t>
  </si>
  <si>
    <t>For one stranded in the middle of the lake,
in the flood of great danger—birth—
overwhelmed with aging &amp;death,
Kappa, I will tell you the island.
Having nothing, free
of clinging:
That is the island,
there is no other.
That’s unbinding, I tell you,
the total ending of aging &amp;death.
Those knowing this, mindful,
fully unbound
in the here-&amp;-now,
don’t serve as Māra’s servants,
don’t come under Māra’s sway.</t>
  </si>
  <si>
    <t>“For those standing in the middle of a lake, when a fearful flood has arisen, for those overcome by old age and death, I speak about an island, Kappa: Having nothing, no attachment, this is the island with nothing beyond, this is called Nibbāna, I say, the end of old age and death. Knowing this, those who are mindful, who are emancipated in this very life, come not under Māra's control, they are not servants to Māra.”</t>
  </si>
  <si>
    <t>For those overwhelmed by old age and death,” 
replied the Buddha, 
“stuck mid-stream 
as the terrifying flood arises, 
I shall tell you an island, Kappa.
Having nothing, taking nothing: 
this is the isle of no return. 
I call it extinguishment, 
the ending of old age and death.
Those who have fully understood this, mindful, 
are extinguished in this very life. 
They don’t fall under Māra’s sway, 
nor are they his lackeys</t>
  </si>
  <si>
    <t>5.11
Jatukanni</t>
  </si>
  <si>
    <t>kāmesu vinayaṁ gedhaṁ
nekkhammaṁ daṭṭhu khemato
uggahītaṁ nirattaṁ vā
mā te vijjittha kiñcanaṁ</t>
  </si>
  <si>
    <t>“Remove greed for sensual pleasures,
(Jatukaṇṇī,” said the Blessed One),
“having seen renunciation as security.
Do not take up or reject anything:
let neither of these exist for you.</t>
  </si>
  <si>
    <t>Subdue greed for sensuality,
&amp;see renunciation as rest.
Let there be nothing grasped
or rejected by you.</t>
  </si>
  <si>
    <t xml:space="preserve">“Remove the greed for sense pleasures, having seen there is safety in renunciation; let there be nothing found in you that has been taken up or is still to be put down. </t>
  </si>
  <si>
    <t>With sensual desire dispelled,” 
replied the Buddha, 
“seeing renunciation as sanctuary, 
don’t be taking up or putting down
anything at all</t>
  </si>
  <si>
    <t>yaṁ pubbe taṁ visosehi
pacchā te māhu kiñcanaṁ
majjhe ce no gahessasi
upasanto carissasi</t>
  </si>
  <si>
    <t>“Dry up what pertains to the past,
do not take up anything to come later.
If you will not grasp in the middle,
you will live at peace.</t>
  </si>
  <si>
    <t>Burn up what’s before,
and have nothing for after.
If you don’t grasp
at what’s in between,2
you will go about, calm.</t>
  </si>
  <si>
    <t>You should erase that which is past, and have nothing for the future, if you take up nothing in the present you will live peacefully.</t>
  </si>
  <si>
    <t>What came before, let wither away, 
and after, let there be nothing. 
If you don’t grasp at the middle, 
you will live at peace</t>
  </si>
  <si>
    <t>Sabbaso nāmarūpasmiṃ, vītagedhassa brāhmaṇa;
Āsavāssa na vijjanti, yehi maccuvasaṃ vaje</t>
  </si>
  <si>
    <t>“For one, brahmin, entirely
devoid of greed for name-and-form,
the influxes do not exist by which
one might come under death’s control.”</t>
  </si>
  <si>
    <t>One completely devoid of greed
for name-&amp;-form, brahman,
has
no effluents
by which he would go
under Māra’s sway.</t>
  </si>
  <si>
    <t>For one altogether without greed for mind and body, O brahmin, no pollutants are found whereby he can come under Death's control.”</t>
  </si>
  <si>
    <t>One rid of greed, brahmin, 
for the whole realm of name and form, 
has no defilements by which 
they might fall under the sway of Death</t>
  </si>
  <si>
    <t>5.12
Bhadravudha</t>
  </si>
  <si>
    <t>ādānataṇhaṁ vinayetha sabbaṁ
uddhaṁ adho tiriyañcāpi majjhe
yaṁ yañhi lokasmimupādiyanti
teneva māro anveti jantuṁ</t>
  </si>
  <si>
    <t>“One should remove all acquisitive craving,
(Bhadrāvudha,” said the Blessed One),
“above, below, and across in the middle. 
Whatever they cling to in the world,
by this itself Māra pursues a person.</t>
  </si>
  <si>
    <t>Subdue craving &amp;grasping—all—
above, below,
across, in between.1
For whatever people cling to in the world,
it’s through that
that Māra pursues them.</t>
  </si>
  <si>
    <t>“You must remove all attachment to craving, above, below, and across the middle, for with whatever they are attached to in the world, with just that Māra follows a man.</t>
  </si>
  <si>
    <t>Dispel all craving for attachments,” 
replied the Buddha, 
“above, below, all round, between. 
For whatever a person grasps in the world, 
Māra pursues them right there</t>
  </si>
  <si>
    <t>Tasmā pajānaṃ na upādiyetha, bhikkhu sato kiñcanaṃ sabbaloke;
Ādānasatte iti pekkhamāno, pajaṃ imaṃ maccudheyye visatta”</t>
  </si>
  <si>
    <t>“Therefore understanding this, a mindful bhikkhu
should not cling to anything in the entire world.
Observing, ‘They are stuck on taking up,’ [he knows]
this population is attached to the realm of death.”</t>
  </si>
  <si>
    <t>So a monk, mindful,
seeing these people
entangled in grasping
as entangled in Death’s realm,
should cling to nothing
in all the world,
every world.</t>
  </si>
  <si>
    <t>Therefore knowing this, the mindful monk should not be attached to anything in the world, seeing that with what is called attachment and clinging, these people are clinging to the realm of Death.”</t>
  </si>
  <si>
    <t>So let a mindful mendicant who understands 
not grasp anything in all the world, 
observing that, in clinging to attachments,
these people cling to the domain of death</t>
  </si>
  <si>
    <t>5.13
Udaya</t>
  </si>
  <si>
    <t>pahānaṁ kāmacchandānaṁ
domanassāna cūbhayaṁ
thinassa ca panūdanaṁ
kukkuccānaṁ nivāraṇaṁ</t>
  </si>
  <si>
    <t>“The abandoning of both,
(Udaya,” said the Blessed One),
“sensual desires and dejection;
the dispelling of mental dullness,
the warding off of regrets:</t>
  </si>
  <si>
    <t xml:space="preserve">The abandoning
both of sensual desires,
&amp;of unhappiness,
the dispelling of sloth,
the warding off of anxieties,
</t>
  </si>
  <si>
    <t>“The giving up of sensual desire, and of sorrow, these two, the dispelling of sloth, and constraint of worry about wrong-doing,</t>
  </si>
  <si>
    <t>The giving up of both” 
replied the Buddha, 
“sensual desires and displeasures; 
the dispelling of dullness, 
and the prevention of remorse.</t>
  </si>
  <si>
    <t>upekkhāsatisaṁsuddhaṁ
dhammatakkapurejavaṁ
aññāvimokkhaṁ pabrūmi
avijjāya pabhedanaṁ</t>
  </si>
  <si>
    <t>“purified by equanimity and mindfulness,
preceded by thought on the Dhamma —
I call this emancipation by final knowledge,
the breaking up of ignorance.”</t>
  </si>
  <si>
    <t>equanimity-&amp;-mindfulness purified,
with inspection of mental qualities
swift in the forefront:
That I call the gnosis of emancipation,1
the breaking open
of ignorance.</t>
  </si>
  <si>
    <t>purity through equanimity and mindfulness,  preceded by thought of impermanent things, this I call freedom through knowledge, the breaking up of ignorance.”</t>
  </si>
  <si>
    <t>Pure equanimity and mindfulness, 
with investigation of principles running out in front—
this, I declare, is liberation by enlightenment, 
the smashing of ignorance</t>
  </si>
  <si>
    <t>Kiṃsu saṃyojano loko, kiṃsu tassa vicāraṇaṃ;
Kissassa vippahānena, nibbānaṃ iti vuccati”.</t>
  </si>
  <si>
    <t>“The world is fettered by delight;
thought is its means of traveling about.
It is by the abandoning of craving
that ‘nibbāna’ is spoken of.”</t>
  </si>
  <si>
    <t>With delight
the world’s fettered.
With directed thought
it’s examined.
Through the abandoning of craving
is there said to be
unbinding.</t>
  </si>
  <si>
    <t>“The world is fettered by enjoyment, it roams about through reflections. By completely giving up craving there is that thing called Nibbāna.”</t>
  </si>
  <si>
    <t>Delight fetters the world. 
It travels about by means of thought. 
With the giving up of craving 
extinguishment is spoken of.”</t>
  </si>
  <si>
    <t>ajjhattañca bahiddhā ca
vedanaṁ nābhinandato
evaṁ satassa carato
viññāṇaṁ uparujjhatīti</t>
  </si>
  <si>
    <t>“For one not seeking delight in feeling
internally and externally,
for one living mindfully thus,
consciousness ceases.”</t>
  </si>
  <si>
    <t>Not relishing feeling,
inside or out:
One living mindful in this way
brings consciousness
to a halt.</t>
  </si>
  <si>
    <t>“Without rejoicing over feeling on the inside or outside - for he who lives mindfully in this way, consciousness surely ceases.”</t>
  </si>
  <si>
    <t>Not taking pleasure in feeling 
internally and externally—
for one living mindfully, 
that’s how consciousness ceases</t>
  </si>
  <si>
    <t>5.14
Posala</t>
  </si>
  <si>
    <t>ākiñcaññasambhavaṁ ñatvā
nandī saṁyojanaṁ iti
evametaṁ abhiññāya
tato tattha vipassati
etaṁ ñāṇaṁ tathaṁ tassa
brāhmaṇassa vusīmatoti</t>
  </si>
  <si>
    <t>“Having known the origin of nothingness
thus, ‘delight is the fetter,’
having directly known it in such a way,
one then sees into it with insight.
This is the real knowledge of the brahmin,
one who has lived the spiritual life.”</t>
  </si>
  <si>
    <t>Knowing directly
the origin of nothingness
to be the fetter of delight,
one then sees there
clearly.
That’s his genuine knowledge—
the brahman who has lived
to fulfillment.</t>
  </si>
  <si>
    <t>Having known the origin of nothingness, and that enjoyment is called a fetter, knowing deeply that it is so, and then having insight into this: this is real knowledge for him, for the brahmin who is accomplished.”</t>
  </si>
  <si>
    <t>Understanding that desire for rebirth 
in the dimension of nothingness is a fetter, 
and directly knowing what this really means, 
one then sees that matter clearly. 
That is the knowledge of reality for them, 
the brahmin who has lived the life.”</t>
  </si>
  <si>
    <t>5.15
Mogharaja</t>
  </si>
  <si>
    <t>suññato lokaṁ avekkhassu
mogharaja sadā sato
attānudiṭṭhiṁ ūhacca
evaṁ maccutaro siyā
evaṁ lokaṁ avekkhantaṁ
maccurājā na passatīti</t>
  </si>
  <si>
    <t>“Look upon the world as empty,
Mogharāja, being ever mindful.
Having uprooted the view of self,
one may thus cross over death.
The King of Death does not see
one who looks upon the world thus.”</t>
  </si>
  <si>
    <t>Always mindful, Mogharāja,1
regard the world as
empty,
having removed any view
in terms of self.
This way
one is above &amp;beyond death.
One who regards the world
in this way
isn’t seen by Death’s King.</t>
  </si>
  <si>
    <t>“Look on the world as empty, Mogharāja, being always mindful. Having removed wrong view of self, in this way one will cross beyond Death. When looking on the world in this way the king of Death does not see one.”</t>
  </si>
  <si>
    <t>Look upon the world as empty, 
Mogharājā, ever mindful. 
Having uprooted the view of self, 
you may thus cross over death. 
That’s how to look upon the world 
so the King of Death won’t see you</t>
  </si>
  <si>
    <t>5.16
Piṅgiya</t>
  </si>
  <si>
    <t>Disvāna rūpesu vihaññamāne, (piṅgiyāti bhagavā)
Ruppanti rūpesu janā pamattā;
Tasmā tuvaṃ piṅgiya appamatto,
Jahassu rūpaṃ apunabbhavāya</t>
  </si>
  <si>
    <t>“Having seen those stricken by forms,
(Piṅgiya,” said the Blessed One),
“people who are heedless, afflicted by forms,
therefore, Piṅgiya, being heedful,
abandon form for an end to renewed existence.”</t>
  </si>
  <si>
    <t>Seeing people suffering
on account of their bodies—
heedless people are afflicted
on account of their bodies—
then heedful, Piṅgiya,
let go of the body
for the sake of no further becoming.</t>
  </si>
  <si>
    <t>“Having seen people struck down amid forms, and that the heedless are pained amid forms - being heedful, Piṅgiya, must give up form, and not come into existence again.”</t>
  </si>
  <si>
    <t>Seeing them harmed on account of forms,” 
replied the Buddha, 
“on account of forms those negligent folk are afflicted—
therefore, Piṅgiya, being diligent, 
give up form so as not to be reborn</t>
  </si>
  <si>
    <t>Taṇhādhipanne manuje pekkhamāno, (piṅgiyāti bhagavā)
Santāpajāte jarasā parete;
Tasmā tuvaṃ piṅgiya appamatto, jahassu taṇhaṃ apunabbhavāyā</t>
  </si>
  <si>
    <t>“Observing people fallen into craving,
(Piṅgiya,” said the Blessed One),
“tormented, crushed by old age,
therefore, Piṅgiya, being heedful,
abandon craving for an end to renewed existence.”</t>
  </si>
  <si>
    <t>Seeing people,
victims of craving—
inflamed, overwhelmed with aging—
then heedful, Piṅgiya,
let go of craving
for the sake of no further becoming.</t>
  </si>
  <si>
    <t>“Seeing human beings, victims of craving, are tormented, and overcome by decay - being heedful, Piṅgiya, you must give up craving and not come into existence again.”</t>
  </si>
  <si>
    <t>Observing people sunk in craving,” 
replied the Buddha, 
“tormented, mired in old age; 
therefore, Piṅgiya, being diligent, 
give up craving so as not to be reborn</t>
  </si>
  <si>
    <t>Pārāyanānugītigāthā</t>
  </si>
  <si>
    <t>“Come now, let me explain
the beautiful utterance of the one
who has abandoned stains and delusion,
who has abandoned conceit and denigration.</t>
  </si>
  <si>
    <t>His delusion &amp;stains
left behind; left behind,
his hypocrisy, conceit:
Let me praise his beautiful words.
He who is truly described
as
dispeller of darkness,
awakened,</t>
  </si>
  <si>
    <t>Of the one who gave up stain and delusion, who gave up conceit and malevolence, come now, I will proclaim this lyric which is endowed with beauty: The Buddha, the Darkness-Dispeller, the Visionary One, who has gone to the end of the world,</t>
  </si>
  <si>
    <t>Come, let me extol 
in sweet words of praise 
the one who’s given up stains and delusions, 
conceit and contempt.
The Buddha, all-seer, dispeler of darkness, 
has gone to world’s end, beyond all rebirths; 
he is free of defilements, and has given up all pain, 
the rightly-named one, brahmin, is revered by me</t>
  </si>
  <si>
    <t>Kiṃnu tamhā vippavasasi, muhuttamapi piṅgiya;
Gotamā bhūripaññāṇā, gotamā bhūrimedhasā.
1145.“Yo te dhammamadesesi, sandiṭṭhikamakālikaṃ;
Taṇhakkhayamanītikaṃ, yassa natthi upamā kvaci”.</t>
  </si>
  <si>
    <t>Gotama of broad intelligence 
“he is the one who taught me the Dhamma,
directly visible, immediate,
the destruction of craving, without adversity,
for which there is no simile anywhere.”</t>
  </si>
  <si>
    <t>Gotama of deep intelligence,
who taught me the Dhamma
timeless, visible here-&amp;-now,
the ending of craving,
calamity-free,
whose likeness is nowhere at all.</t>
  </si>
  <si>
    <t>He who taught the Teaching to me, which is visible, not subject to time, the end of craving, beyond calamity, for which there is nowhere a likeness.”</t>
  </si>
  <si>
    <t>From Gotama, vast in wisdom, 
from Gotama, vast in intelligence?
He is the one who taught you Dhamma, 
apparent in the present life, immediately effective, 
the untroubled, the end of craving, 
to which there is no compare</t>
  </si>
  <si>
    <t>Saddhā ca pīti ca mano sati ca, nāpenti me gotamasāsanamhā;
Yaṃ yaṃ disaṃ vajati bhūripañño, sa tena teneva natohamasmi.</t>
  </si>
  <si>
    <t>“My faith and rapture, mind and mindfulness,
do not depart from Gotama’s teaching.
To whatever direction the one of broad wisdom goes,
I pay homage to him in that same direction.</t>
  </si>
  <si>
    <t>My conviction, rapture,
mindfulness, &amp;heart,
don’t stray from Gotama’s message.
To whatever direction he goes,
the one deeply discerning,
to that direction I bow down.</t>
  </si>
  <si>
    <t>My confidence, happiness, mind, and mindfulness, do not depart from Gotama's teaching, whatever direction the One of Great Wisdom goes to it is that very place that I incline.</t>
  </si>
  <si>
    <t>My faith and joy and intent and mindfulness 
never stray from Gotama’s teaching. 
I bow to whatever direction 
the one of vast wisdom heads</t>
  </si>
  <si>
    <t>Muni</t>
  </si>
  <si>
    <t xml:space="preserve">How to behave to become a Sage
</t>
  </si>
  <si>
    <t>Sutta Nipata 1:1–3, 1:5, 1:12, 2:6, 2:11, 2:13, 3:4–5, 3:9, 3:11, 4:6–7, 4:9–10, 4:14–16, 5:1–2, 5:7, 5:9</t>
  </si>
  <si>
    <t xml:space="preserve">Impact on the mind and practical application </t>
  </si>
  <si>
    <t xml:space="preserve"> </t>
  </si>
  <si>
    <t>Line</t>
  </si>
  <si>
    <t>Sutta Name</t>
  </si>
  <si>
    <t>Snp vv</t>
  </si>
  <si>
    <t>1.12 
Muni
Sage
Inwardly Silent</t>
  </si>
  <si>
    <t>santhavāto bhayaṃ jātaṃ
niketā jāyate rajo
aniketamasanthavaṃ
etaṃ ve munidassanaṃ</t>
  </si>
  <si>
    <t>Peril stems from intimacy,
dust comes from a home.
Freedom from home and intimacy:
that is the sage’s vision.</t>
  </si>
  <si>
    <t>From intimacy peril has arisen;
from an abode there arises dust.
Without an abode, without intimacy:
this truly is the muni’s vision.</t>
  </si>
  <si>
    <t>From socialising fear is born,
from the house dust arises.
Freedom from house and society
that is the Muni’s vision</t>
  </si>
  <si>
    <t>Danger is born from intimacy,1
a home gives birth to dust.2
Free from a home,
free from intimacy:
Such is the vision of the sage.</t>
  </si>
  <si>
    <t>From familiarity fear is born,
from household life arises dust;
no household, no familiar life—
such is the vision for the sage</t>
  </si>
  <si>
    <t>See also: AN 3:123; Dhp 268–269; Iti 66–67; Sn 3:11</t>
  </si>
  <si>
    <t>yo jātamucchijja na ropayeyya
jāyantamassa nānuppavecche
tamāhu ekaṃ muninaṃ carantaṃ
addakkhi so santipadaṃ mahesi</t>
  </si>
  <si>
    <t>Having cut down what’s grown, they wouldn’t replant,
nor would they nurture what’s growing.
That’s who they call a sage wandering alone,
the great hermit has seen the state of peace</t>
  </si>
  <si>
    <t>One who, having cut off what has arisen,
would not foster what is arising or nurture it —
they call him a muni living alone:
that great rishi saw the state of peace.</t>
  </si>
  <si>
    <t>He who has uprooted the born and does not regrow
and does not allow a [new] arising process,
him they call the lone-faring Muni,
for he, the true sage, has seen the way of peace.</t>
  </si>
  <si>
    <t>Who, destroying what’s born,
wouldn’t plant (again)
or nourish what’s taking birth:
They call him the wandering, solitary sage.
He, the great seer
has seen the state of peace.</t>
  </si>
  <si>
    <t>Who, cutting down what has grown up,
plants not again, supplies no means for growth,
they call that Sage who fares alone;
great-seeker-seen-the-place-of-peace</t>
  </si>
  <si>
    <t>Thanissaro notes: 
5 SnA: Dwellings (nivesanāni) = States of becoming and birth. This term can also be translated as “entrenchments.” See Sn 4:3, note 2.
6. SnA: He does not build = He performs none of the good or bad deeds that give rise to further states of becoming and birth. See Dhp 39, 267, and 412.
10. SnA: Straight as a shuttle = Having a mind unprejudiced by desire, aversion, delusion, or fear. See AN 4:19.
12. Intoxication: The three intoxications are intoxication with youth, with good health, and with life. See AN 3:39.
14. Flood: The flow of defilement: sensuality, becoming, views, and ignorance. See SN 45:171.
15. Such (tādiṁ): Unchanging; unaffected by anything, while at the same time undefined.</t>
  </si>
  <si>
    <t>saṅkhāya vatthūni pamāya bījaṃ
sinehamassa nānuppavecche
sa ve munī jātikhayantadassī
takkaṃ pahāya na upeti saṅkhaṃ</t>
  </si>
  <si>
    <t>Having assessed the fields and measured the seeds,
they wouldn’t nurture them with moisture.
Truly that sage sees the utter ending of rebirth;
when logic’s left behind, judgments no longer apply.</t>
  </si>
  <si>
    <t>Having comprehended the grounds, having crushed the seed,
he would not nurture it with moisture.
Truly, that muni, a seer of the final end of birth,
having abandoned thought, cannot be designated.</t>
  </si>
  <si>
    <t>Surveying the fields, crushing the seed,
not allowing any moisture to it,
he is the Muni who sees the utter destruction of birth.26
Giving up thinking he does not enter the surveyable.</t>
  </si>
  <si>
    <t>Considering the ground,
crushing the seed,
he wouldn’t nourish the sap4
—truly a sage—
seer of the ending of birth,
abandoning conjecture,
he cannot be classified.</t>
  </si>
  <si>
    <t>Who has surveyed the grounds and lost the seeds,
and supplied no means for further growth,
is Sage seen to the end of birth and death,
logic abandoned and beyond reckoning.</t>
  </si>
  <si>
    <t>aññāya sabbāni nivesanāni
anikāmayaṃ aññatarampi tesaṃ
sa ve munī vītagedho agiddho
nāyūhatī pāragato hi hoti</t>
  </si>
  <si>
    <t>Understanding all the planes of rebirth,
not wanting a single one of them,
Truly that sage freed of greed
need not strive, for they have reached the far shore.</t>
  </si>
  <si>
    <t>Having known all residences,
not desiring any one of them, he who is
truly a muni, devoid of greed, greedless,
does not endeavor, for he has gone beyond.</t>
  </si>
  <si>
    <t>Having known all resorts,
not wanting any of them,
he is the Muni who is freed from greed and does not go along it.
He does not struggle, he has gone across.</t>
  </si>
  <si>
    <t>Knowing all dwellings,5
not longing for any one anywhere
—truly a sage—
with no coveting, without greed,
he does not build,6
for he has gone    beyond.</t>
  </si>
  <si>
    <t>Truly have been known all resting-places
with no desires at all for any there—
that sage indeed, free from crowing, greed,
struggles not, gone to the further shore.</t>
  </si>
  <si>
    <t>sabbābhibhuṃ sabbaviduṃ sumedhaṃ
sabbesu dhammesu anūpalittaṃ
sabbañjahaṃ taṇhakkhaye vimuttaṃ
taṃ vāpi dhīrā muni vedayanti</t>
  </si>
  <si>
    <t>The champion, all-knower, so very intelligent,
unsullied in the midst of all things,
has given up all, freed in the ending of craving:
that’s who the wise know as a sage</t>
  </si>
  <si>
    <t>One who has overcome all, all-knowing, very wise,
untainted among all things,
who has cast off all, liberated in the destruction of craving:
he is one the wise know as a muni.</t>
  </si>
  <si>
    <t>Overcoming all, knowing all, mature in wisdom,
not getting stuck in anything,
giving up all, freed in the destruction of craving—
him too the wise make known as the Muni.</t>
  </si>
  <si>
    <t>Conquering     all
knowing     all,
wise.
With regard to     all things:
unsmeared.
Abandoning     all,
in the ending of craving,
released:
The enlightened call him a sage.</t>
  </si>
  <si>
    <t>Who is intelligent, knowing All, All overcome
among all the dharmas, one who cannot be sullied,
who All has abandoned, freed by craving’s end—
that one do the wise proclaim as a sage</t>
  </si>
  <si>
    <t>paññābalaṃ sīlavatūpapannaṃ
samāhitaṃ jhānarataṃ satīmaṃ
saṅgā pamuttaṃ akhilaṃ anāsavaṃ
taṃ vāpi dhīrā muni vedayanti</t>
  </si>
  <si>
    <t>Strong in wisdom, with precepts and observances intact,
serene, loving absorption, mindful,
released from chains, kind, undefiled:
that’s who the wise know as a sage.</t>
  </si>
  <si>
    <t>One with the power of wisdom,
equipped with good behavior and observances,
concentrated, delighting in jhāna, mindful,
freed from ties, not barren, without influxes:
he, too, is one the wise know as a muni.</t>
  </si>
  <si>
    <t>Strong in wisdom, endowed with virtue and practice,
composed, delighting in meditation, mindful,
with barrenness gone, taintless—
him too the wise make known as the Muni.</t>
  </si>
  <si>
    <t>well-endowed in habit &amp;practice,
centered,
delighting in jhāna,
mindful,
released from attachments,
free from rigidity, free
from effluent7:
The enlightened call him a sage.</t>
  </si>
  <si>
    <t>In wisdom strong, in virtuous conduct established,
in concentration and enjoying jhāna,
free from all ties, aridity and the inflows—
that one do the wise proclaim as a sage</t>
  </si>
  <si>
    <t>ekaṃ carantaṃ munimappamattaṃ
nindāpasaṃsāsu avedhamānaṃ
sīhaṃva saddesu asantasantaṃ
vātaṃva jālamhi asajjamānaṃ
padumaṃ va toyena alippamānaṃ
netāramaññesamanaññaneyyaṃ
taṃ vāpi dhīrā muni vedayanti</t>
  </si>
  <si>
    <t>The diligent sage wandering alone,
is unaffected by praise and blame—
like a lion not startled by sounds,
like wind not caught in a net,
like water not sticking to a lotus.
Leader of others, not by others led:
that’s who the wise know as a sage.</t>
  </si>
  <si>
    <t>Living alone, a muni, heedful,
not swayed by blame and praise —
like a lion not alarmed among sounds,
like the wind not caught in a net,
like a lotus not tainted by water,
a leader of others, not by others led:
he, too, is one the wise know as a muni.</t>
  </si>
  <si>
    <t>Faring alone the Muni free of negligence,
unshaken in blame and praise
like the lion undisturbed by sounds,
like the wind not caught in the net, 
like the lotus untouched by water,
the leader of others, not led by them—
him too the wise make known as the Muni.</t>
  </si>
  <si>
    <t>The solitary wandering sage,
uncomplacent, unshaken by praise or blame—
unstartled,     like a lion at sounds,
uncaught,          like the wind in a net,
unsmeared,     like a lotus in water,8
leader of others, by others unled:
The enlightened call him a sage.</t>
  </si>
  <si>
    <t>The vigilant sage who practises alone,
who unshaken is by blame or praise,
is as a lion that trembles not at sounds,
or as wind within a net cannot be caught,
or like a lotus flower by water not defiled,
leading other people but not by others led—
that one do the wise proclaim as a sage.</t>
  </si>
  <si>
    <t>yo ogahaṇe thambhorivābhijāyati
yasmiṃ pare vācāpariyantaṃ vadanti
taṃ vītarāgaṃ susamāhitindriyaṃ
taṃ vāpi dhīrā muni vedayanti</t>
  </si>
  <si>
    <t>Steady as a post in a bathing-place
when others speak endlessly against them,
freed of greed, with senses stilled:
that’s who the wise know as a sage.</t>
  </si>
  <si>
    <t>One who remains steadfast like a pillar at a ford
when others speak provocative words about some matter;
who is devoid of lust, with well-concentrated faculties:
he, too, is one the wise know as a muni.</t>
  </si>
  <si>
    <t>He who remains like a post in the bathing place,
regarding whom others come to the end of words,27
freed from lust, well composed in faculties—
him too the wise make known as the Muni.</t>
  </si>
  <si>
    <t>Who becomes
like the pillar at a bathing ford,9
when others speak in extremes;
he, without passion,
his senses well-centered:
The enlightened call him a sage.</t>
  </si>
  <si>
    <t>Who though oppressed, is unmoving as a pile-post,
when others about oneself use speech extreme;
that one free from lust, sense-faculties restrained—
that one do the wise proclaim as a sage.</t>
  </si>
  <si>
    <t>yo ve ṭhitatto tasaraṃva ujju
jigucchati kammehi pāpakehi
vīmaṃsamāno visamaṃ samañca
taṃ vāpi dhīrā muni vedayanti</t>
  </si>
  <si>
    <t>Steadfast, straight as a shuttle,
horrified by wicked deeds,
discerning the just and the unjust:
that’s who the wise know as a sage.</t>
  </si>
  <si>
    <t>One who is inwardly firm, straight as a shuttle,
disgusted with actions that are evil,
who investigates the uneven and the even:
he, too, is one the wise know as a muni.</t>
  </si>
  <si>
    <t>He who, with a balanced mind and straight like a weaving shuttle,
is disgusted with evil acts
and investigates the even and the uneven—
him too the wise make known as the Muni.</t>
  </si>
  <si>
    <t xml:space="preserve">Truly poised, straight as a shuttle,10
he loathes evil actions.
Pondering what is consonant &amp;discordant11:
The enlightened call him a sage.
</t>
  </si>
  <si>
    <t>Who is straight-minded as shuttle straightly moves,
and who conduct examines both the rough and the smooth,
and so who turns away from evil karma-making—
that one do the wise proclaim as a sage.</t>
  </si>
  <si>
    <t>yo saññatatto na karoti pāpaṃ
daharo majjhimo ca muni yatatto
arosaneyyo na so roseti kañci
taṃ vāpi dhīrā muni vedayanti</t>
  </si>
  <si>
    <t>Restrained, they do no evil,
young or middle-aged, the sage is self-controlled.
Irreproachable, he does not insult anyone:
that’s who the wise know as a sage.</t>
  </si>
  <si>
    <t>One self-controlled does nothing evil;
when young and middle-aged, the muni is restrained.
Irreproachable, he does not scold anyone:
he, too, is one the wise know as a muni.</t>
  </si>
  <si>
    <t>He who well-restrained does no evil
whether young or middle-aged, being a Muni,
and neither gets provoked nor provokes anyone—
him too the wise make known as the Muni.</t>
  </si>
  <si>
    <t>Restrained in mind, he does no evil.
Young &amp;middle-aged,
the sage self-controlled,
never angered, he angers none:
The enlightened call him a sage.</t>
  </si>
  <si>
    <t>Who with a mind restrained, evil does not do,
whether young, middle-aged or sage self-controlled,
who cannot be provoked nor others does provoke—
that one do the wise proclaim as a sage.</t>
  </si>
  <si>
    <t>yadaggato majjhato sesato vā
piṇḍaṃ labhetha paradattūpajīvī
nālaṃ thutuṃ nopi nipaccavādī
taṃ vāpi dhīrā muni vedayanti</t>
  </si>
  <si>
    <t>When one who lives on charity receives alms,
from the top, the middle, or the leftovers,
they think it unworthy to praise or put down:
that’s who the wise know as a sage.</t>
  </si>
  <si>
    <t>Whether from the top, the middle, or the remainder,
whatever food an alms-collector may receive,
he does not think to praise it or disparage it:
he, too, is one the wise know as a muni.</t>
  </si>
  <si>
    <t>Depending as he is on others for food,
whether he receives from the top, the middle, or the remainder,
he is incapable of praising or criticizing it—
him too the wise make known as the Muni.</t>
  </si>
  <si>
    <t>From the best, the middling
the leftovers
he receives alms.
Sustaining himself on what others give,
neither flattering
nor speaking disparagement:
The enlightened call him a sage.</t>
  </si>
  <si>
    <t>Who lives upon almsfood by others donated,
receiving the first, the middle, or remainders at the end,
who then sings not owned praises, or hurtfully speak—
that one do the wise proclaim as a sage</t>
  </si>
  <si>
    <t>muniṃ carantaṃ virataṃ methunasmā
yo yobbane nopanibajjhate kvaci
madappamādā virataṃ vippamuttaṃ
taṃ vāpi dhīrā muni vedayanti</t>
  </si>
  <si>
    <t>The sage lives refraining from sex,
even when young is not tied down,
refraining from indulgence and negligence, freed:
that’s who the wise know as a sage.</t>
  </si>
  <si>
    <t>The muni who lives abstinent from sexual union,
who even in youth is not bound anywhere,
abstinent from vanity and heedlessness, fully released:
he, too, is one the wise know as a muni.</t>
  </si>
  <si>
    <t>The Muni living aloof from sexuality,
who even in his youth gets entangled nowhere,
refraining from indulgence and negligence, well-freed
him too the wise make known as the Muni.</t>
  </si>
  <si>
    <t>The wandering sage
abstaining from sex,
in youth bound by no one,
abstaining from intoxication12
complacency,
totally apart:
The enlightened call him a sage.</t>
  </si>
  <si>
    <t>The sage not practising indulgence in sex,
who even when youthful was not tied to anyone,
not indulgence in madness of wanton ways but free—
that one do the wise proclaim as a sage</t>
  </si>
  <si>
    <t>aññāya lokaṃ paramatthadassiṃ
oghaṃ samuddaṃ atitariya tādiṃ
taṃ chinnaganthaṃ asitaṃ anāsavaṃ
taṃ vāpi dhīrā muni vedayanti</t>
  </si>
  <si>
    <t>Understanding the world, the seer of the ultimate goal,
the poised one who has crossed the flood and the ocean,
has cut the ties, unattached and undefiled:
that’s who the wise know as a sage.</t>
  </si>
  <si>
    <t>Having known the world, a seer of the supreme goal,
an impartial one who has crossed the flood and ocean, 
whose knots are cut, unattached, without influxes:
he, too, is one the wise know as a muni.</t>
  </si>
  <si>
    <t>Having known the world, seeing the highest purpose,
having crossed the flood and the ocean, being Such-like,
with knots cut, unattached and taintless—
him too the wise make known as the Muni.</t>
  </si>
  <si>
    <t>Knowing the world,
seeing the highest goal,
crossing the ocean,13 the flood,14
—Such15—
his chains broken,
unattached,
without effluent:
The enlightened call him a sage.</t>
  </si>
  <si>
    <t>True Knower of the universe, Seer of highest truth,
crossed the ocean’s flood, One Thus and unattached,
One who’s knots are cut, with no inflows left—
that one do the wise proclaim as a sage</t>
  </si>
  <si>
    <t>asamā ubho dūravihāravuttino
gihī dāraposī amamo ca subbato
parapāṇarodhāya gihī asaññato
niccaṃ munī rakkhati pāṇine yato</t>
  </si>
  <si>
    <t>The two are not the same, far apart in lifestyle and conduct—
the householder providing for a wife, and the selfless one true to their vows.
The unrestrained householder kills other creatures,
while the restrained sage always protects living creatures.</t>
  </si>
  <si>
    <t>The two are dissimilar, their dwelling and conduct far apart:
the layman supporting a wife and the ascetic owning nothing.
The layman is unrestrained in harming other beings,
while the muni, ever restrained, protects living beings.</t>
  </si>
  <si>
    <t>Unequal are the two, remote in life and practice:
the householder who feeds a family and the possessionless one of good 
practice.
The householder is unrestrained in killing living beings
while the Muni always protects animals, being restrained.</t>
  </si>
  <si>
    <t>These two are different,
they dwell far apart:
the householder supporting a wife
and the unselfish one, of good practices.
Slaying other beings, the householder
is unrestrained.
Constantly the sage protects other beings,
is controlled.</t>
  </si>
  <si>
    <t>The householder with wife, and the “not-mine-maker”
of strict practices—their living-ways not the same:
house-livers not restrained from taking others’ lives,
but the sage always guards other beings’ lives</t>
  </si>
  <si>
    <t>sikhī yathā nīlagīvo vihaṅgamo
haṃsassa nopeti javaṃ kudācanaṃ
evaṃ gihī nānukaroti bhikkhuno
munino vivittassa vanamhi jhāyatoti</t>
  </si>
  <si>
    <t>As the crested blue-necked peacock flying through the sky
never approaches the speed of the swan,
so the householder cannot compete with the mendicant,
the sage meditating secluded in the woods</t>
  </si>
  <si>
    <t>Just as the blue-necked peacock, flying in the sky,
never approaches the speed of a goose,
so the layman is no match for the bhikkhu,
a muni meditating secluded in the woods.</t>
  </si>
  <si>
    <t>Even as the blue-necked crested bird
never reaches the speed of the wild-goose,
so the house-holder cannot emulate the monk,
the secluded Muni meditating in the forest.</t>
  </si>
  <si>
    <t>Just as the crested,
blue-necked peacock,
when flying,
never matches the wild goose
in speed,
even so the householder
never keeps up with the monk—
the sage secluded
in the forest, doing jhāna.</t>
  </si>
  <si>
    <t>In flight the crested peacock, turquoise-necked,
never the swiftness of the swan attains,
so a house-liver cannot match a bhikkhu,
a sage meditating in the woods</t>
  </si>
  <si>
    <t xml:space="preserve">2.11
Rahula </t>
  </si>
  <si>
    <t>“Kacci abhiṇhasaṁvāsā,
nāvajānāsi paṇḍitaṁ
Ukkādhāro manussānaṁ,
kacci apacito tayā”.</t>
  </si>
  <si>
    <t>“Does familiarity breed contempt,
even for the man of wisdom?
Do you honor he who holds aloft
the torch for all humanity?”</t>
  </si>
  <si>
    <t>“Do you not despise the wise man
because of constantly living with him?
Is the torchbearer of humankind
always respected by you?”</t>
  </si>
  <si>
    <t>“From living with him often
do you not despise the wise man?
Is the one who holds up the torch
for human beings
honored by you?”</t>
  </si>
  <si>
    <t>(Buddha)
From living together constantly,
the Teacher you don’t scorn?
Torch-bearer to humanity,
is he by you revered?</t>
  </si>
  <si>
    <t xml:space="preserve"> See also: MN 61; MN 62; MN 147; Thag 4:8 </t>
  </si>
  <si>
    <t>“Nāhaṁ abhiṇhasaṁvāsā,
avajānāmi paṇḍitaṁ;
Ukkādhāro manussānaṁ,
niccaṁ apacito mayā”.</t>
  </si>
  <si>
    <t>“Familiarity breeds no contempt
for the man of wisdom.
I always honor he who holds aloft
the torch for all humanity.”</t>
  </si>
  <si>
    <t>“I do not despise the wise man
because of constantly living with him.
The torchbearer of humankind
is always respected by me.”</t>
  </si>
  <si>
    <t>“From living with him often
I don’t despise the wise man.
The one who holds up the torch
for human beings
is honored by me.”</t>
  </si>
  <si>
    <t>(Rahula)
From living together constantly,
the Teacher I scorn not.
Torch-bearer to humanity
is by me revered.</t>
  </si>
  <si>
    <t>“Pañca kāmaguṇe hitvā,
piyarūpe manorame;
Saddhāya gharā nikkhamma,
dukkhassantakaro bhava.</t>
  </si>
  <si>
    <t>“One who’s given up the five sensual stimulations,
so pleasing and delightful,
and who’s left the home life out of faith—
let them make an end to suffering!</t>
  </si>
  <si>
    <t>“Having given up the five strands of sensual pleasure,
so pleasing and delightful to the mind,
having renounced the home life out of faith,
be one who makes an end to suffering.</t>
  </si>
  <si>
    <t>“Abandoning the five strings of sensuality,
endearing, charming,
going forth from home
through conviction,
be one who puts an end
to suffering &amp;stress.</t>
  </si>
  <si>
    <t>(Buddha)
Having let go five sense-desires,
and forms that are dear, delighting mind,
with faith renounce the household life,
be one who dukkha ends.</t>
  </si>
  <si>
    <t>Mitte bhajassu kalyāṇe,
pantañca sayanāsanaṁ;
Vivittaṁ appanigghosaṁ,
mattaññū hohi bhojane.</t>
  </si>
  <si>
    <t>Mix with spiritual friends,
stay in remote lodgings,
secluded and quiet,
and eat in moderation.</t>
  </si>
  <si>
    <t>“Associate with good friends,
and resort to a remote lodging,
secluded, a place with little noise;
be moderate in eating.</t>
  </si>
  <si>
    <t>Cultivate admirable friends
and an isolated dwelling,
secluded, with next-to-no noise.
Know moderation in eating.</t>
  </si>
  <si>
    <t>Keep company with noble friends,
dwell in a lonely practice-place,
secluded, having little noise,
with food be moderate.</t>
  </si>
  <si>
    <t>Associate with spiritual friends,
stay in remote lodgings,
secluded and quiet,
and eat in moderation.</t>
  </si>
  <si>
    <t>Cīvare piṇḍapāte ca,
paccaye sayanāsane;
Etesu taṇhaṁ mākāsi,
mā lokaṁ punarāgami.</t>
  </si>
  <si>
    <t>Robes, almsfood,
requisites and lodgings:
don’t crave such things;
don’t come back to this world again</t>
  </si>
  <si>
    <t>“Do not give rise to craving
for these — a robe and almsfood,
requisites and a lodging:
do not come back to the world again.</t>
  </si>
  <si>
    <t>Robe, alms-food,
requisites, dwellings:
Don’t create craving for these.
Don’t be one who returns to the world.</t>
  </si>
  <si>
    <t>Robes as well as food from alms,
with shelter, also remedies—
for these things no craving form,
so turn not to the world again.</t>
  </si>
  <si>
    <t>Saṁvuto pātimokkhasmiṁ,
indriyesu ca pañcasu;
Sati kāyagatā tyatthu,
nibbidābahulo bhava.</t>
  </si>
  <si>
    <t>Be restrained in the monastic code,
and the five sense faculties,
With mindfulness immersed in the body,
be full of disillusionment.</t>
  </si>
  <si>
    <t>“Be restrained by the Pātimokkha
and in the five sense faculties.
Let your mindfulness be directed to the body;
be full of disenchantment [toward the world].</t>
  </si>
  <si>
    <t>Don’t be one who returns to the world.
Restrained in the Pāṭimokkha
and the five faculties,
have mindfulness immersed in the body,
be one who’s cultivated disenchantment.</t>
  </si>
  <si>
    <t>By Pāṭimokkha stay restrained
and by the five sense faculties,
practise bodily mindfulness
to be dispassionate.</t>
  </si>
  <si>
    <t>Be restrained in the monastic code,
and the five sense faculties,
With mindfulness immersed in the body,
become disenchanted.</t>
  </si>
  <si>
    <t>Nimittaṁ parivajjehi,
subhaṁ rāgūpasañhitaṁ;
Asubhāya cittaṁ bhāvehi,
ekaggaṁ susamāhitaṁ.</t>
  </si>
  <si>
    <t>Turn away from the feature of things
that’s attractive, provoking lust.
With mind unified and serene,
meditate on the ugly aspects of the body.</t>
  </si>
  <si>
    <t>“Avoid the mark [of sensual objects],
which is beautiful and connected with lust.
Develop your mind on the unattractive;
[make it] one-pointed, well concentrated.</t>
  </si>
  <si>
    <t>Avoid the theme of beauty,
connected with passion.
Develop the mind in the unattractive—
gathered into one,1 well-centered.</t>
  </si>
  <si>
    <t>Avoid those objects beautiful,
which may be linked with lust,
on the unlovely, one-pointed,
well-concentrated, grow the mind</t>
  </si>
  <si>
    <t xml:space="preserve">Avoid the theme of beauty,
connected with passion.
Develop the mind in the unattractive—
unified, composed </t>
  </si>
  <si>
    <t>Animittañca bhāvehi,
Mānānusayamujjaha;
Tato mānābhisamayā,
Upasanto carissatī”ti.</t>
  </si>
  <si>
    <t>Meditate on the signless,
give up the tendency to conceit;
and when you comprehend conceit,
you will live at peace.”</t>
  </si>
  <si>
    <t>“And develop the markless state,
discard the latent tendency to conceit.
Then, by breaking through conceit,
you will live in tranquil peace.”</t>
  </si>
  <si>
    <t>Develop the themeless.2
Give up obsession with conceit.
Then, from having broken through conceit,
you will go about,
stilled.”</t>
  </si>
  <si>
    <t>Develop then the signless state,
with tendency to pride let go—
by fully understanding it,
truly as peaceful you will fare.</t>
  </si>
  <si>
    <t>Develop the themeless.
Give up obsession with conceit.
Then, from having broken through conceit,
you will go about,
stilled.”</t>
  </si>
  <si>
    <t xml:space="preserve">
See also: MN 61; MN 62; MN 147; Thag 4:8</t>
  </si>
  <si>
    <t>2.13 
SAMMĀPARIBBĀJANIYA
WANDERING RIGHTLY</t>
  </si>
  <si>
    <t>pucchāmi muniṃ pahūtapaññaṃ
tiṇṇaṃ pāraṅgataṃ parinibbutaṃ ṭhitattaṃ
nikkhamma gharā panujja kāme
kathaṃ bhikkhu sammā so loke paribbajeyya</t>
  </si>
  <si>
    <t>“I ask the sage abounding in wisdom—
crossed-over, gone beyond, quenched, steadfast:
when a mendicant has left home, expelling sensuality,
what’s the right way to wander the world?</t>
  </si>
  <si>
    <t>“I ask the muni, one of abundant wisdom,
who has crossed over, gone beyond, attained nibbāna, inwardly firm:
having renounced the home life and discarded sensual pleasures,
how would that bhikkhu properly wander in the world?”</t>
  </si>
  <si>
    <t>I ask the Muni of great wisdom,
crossed over, gone to the other shore, quenched and balanced:
having gone forth from the house and dismissed sensual pleasures
how would a monk fare rightly in the world?</t>
  </si>
  <si>
    <t>“I ask the sage of abundant discernment,
crossed over to the far shore,
totally unbound, steadfast in mind:
Leaving home, rejecting sensuality,
how does one wander rightly in the world?”1</t>
  </si>
  <si>
    <t>Of the Sage of great wisdom, one gone across,
to the further shore gone, completely Cool, poised
who’s renounced a house,
sense-pleasures dispelled, I ask:
How would a bhikkhu rightly wander in the world?</t>
  </si>
  <si>
    <t>“I ask the muni, of abundant wisdom,
who has crossed over, gone beyond, attained nibbāna, composed:
having renounced the home life and discarded sensual pleasures,
how would a bhikkhu rightly wander in the world?”</t>
  </si>
  <si>
    <t>yassa maṅgalā samūhatā (iti bhagavā)
uppātā supinā ca lakkhaṇā ca
so maṅgaladosavippahīno
sammā so loke paribbajeyya</t>
  </si>
  <si>
    <t>When they’ve eradicated superstitions,”
said the Buddha,
“about celestial portents, dreams, or bodily marks;
with the stain of superstitions left behind,
they’d rightly wander the world.</t>
  </si>
  <si>
    <t>“When he was uprooted [concern with] blessings,”
(said the Blessed One),
“with portents,115 dreams, and lucky signs,
when he has abandoned the defects of blessings,
that bhikkhu would properly wander in the world.</t>
  </si>
  <si>
    <t>He who has abolished fortune-looking, 
shooting stars, dreams and portents,
he, with the blemish of fortune-looking fully abandoned,
would fare rightly in the world.</t>
  </si>
  <si>
    <t>The Buddha:
“Whoever’s omens are uprooted,
as are meteors, dreams, &amp;marks,2
whose fault of omens is completely abandoned:
He would wander rightly in the world.</t>
  </si>
  <si>
    <t>Who has destroyed (belief ) in omens, in luck,
the occurrence of dreams and other signs such,
who is rid of the bane of what is auspicious,
such a one rightly would wander in the world.</t>
  </si>
  <si>
    <t>When they’ve eradicated divinations,”
said the Buddha,
“about omens, dreams, or signs;
with the stain of divination left behind,
they’d rightly wander the world.</t>
  </si>
  <si>
    <t>rāgaṃ vinayetha mānusesu
dibbesu kāmesu cāpi bhikkhu
atikkamma bhavaṃ samecca dhammaṃ
sammā so loke paribbajeyya</t>
  </si>
  <si>
    <t>A mendicant ought dispel desire
for pleasures human or divine;
with rebirth transcended and truth comprehended,
they’d rightly wander the world.</t>
  </si>
  <si>
    <t>“A bhikkhu should remove lust for sensual pleasures,
for pleasures both human and celestial;
having transcended existence, having penetrated the Dhamma,
he would properly wander in the world.</t>
  </si>
  <si>
    <t>The monk should dispel his lust for human pleasures
as well as for the divine ones.
Transcending existence and realising the Dhamma—
he would fare rightly in the world.</t>
  </si>
  <si>
    <t>A monk should subdue passion
for sensualities human
&amp;even divine.
Having gone past becoming,
and met with the Dhamma,
he would wander rightly in the world.</t>
  </si>
  <si>
    <t>Who sensuality is able to divert—
both varieties, human and divine—such a bhikkhu
passed beyond being, knowing Dharma well,
such a one rightly would wander in the world.</t>
  </si>
  <si>
    <t>A bhikkhu should dispel desire
for pleasures human or divine;
transcending becoming by met the Dhamma,
they’d rightly wander the world.</t>
  </si>
  <si>
    <t>vipiṭṭhikatvāna pesuṇāni
kodhaṃ kadarīyaṃ jaheyya bhikkhu
anurodhavirodhavippahīno
sammā so loke paribbajeyya</t>
  </si>
  <si>
    <t>Putting divisiveness behind them,
a mendicant gives up anger and stinginess;
with favoring and opposing left behind,
they’d rightly wander the world.</t>
  </si>
  <si>
    <t>“Having put behind him divisive words,
a bhikkhu should discard anger and meanness;
when he has abandoned attraction and repulsion,
he would properly wander in the world.</t>
  </si>
  <si>
    <t>Turning his back on slanders
the monk should abandon anger and avarice.
With attraction and opposition fully abandoned—
he would fare rightly in the world.</t>
  </si>
  <si>
    <t>Putting behind him
divisive tale-bearing,
a monk should abandon anger &amp;meanness.
With favoring &amp;opposing
totally abandoned,
he would wander rightly in the world.</t>
  </si>
  <si>
    <t>Anger and avarice by the bhikkhu abandoned,
his back having turned upon slander as well,
compliance, opposition, completely disappeared,
such a one rightly would wander in the world.</t>
  </si>
  <si>
    <t>Putting divisiveness behind,
a bhikkhu gives up anger and avarice;
removed of attraction and repulsion 
they’d rightly wander the world.</t>
  </si>
  <si>
    <t>hitvāna piyañca appiyañca
anupādāya anissito kuhiñci
saṃyojaniyehi vippamutto
sammā so loke paribbajeyya</t>
  </si>
  <si>
    <t>When the loved and the unloved are both left behind,
not grasping or dependent on anything;
freed from all things that fetter,
they’d rightly wander the world.</t>
  </si>
  <si>
    <t>“Having abandoned what is pleasing and displeasing,
without clinging, not depending on anything,
utterly released from things that fetter,
he would properly wander in the world.</t>
  </si>
  <si>
    <t>Having abandoned the liked and the disliked,
not taking up, he is not dependent on anything.
From things that fetter well-released—
he would fare rightly in the world.</t>
  </si>
  <si>
    <t>Having abandoned dear &amp;undear,
independent—through no-clinging—of anything at all,
fully released from fetters,
he would wander rightly in the world.</t>
  </si>
  <si>
    <t>Letting go the pleasant, what’s unpleasant too,
ungrasping, unsupported by nothing at all,
from all the causes for the fetters—completely free,
such a one rightly would wander in the world.</t>
  </si>
  <si>
    <t>letting go of dear and undear,
not attached nor dependent anywhere;
released from all things that fetter,
they’d rightly wander the world.</t>
  </si>
  <si>
    <t>na so upadhīsu sārameti
ādānesu vineyya chandarāgaṃ
so anissito anaññaneyyo
sammā so loke paribbajeyya</t>
  </si>
  <si>
    <t>Finding no substance in attachments,
rid of desire for things they’ve acquired,
independent, needing no-one to guide them,
they’d rightly wander the world.</t>
  </si>
  <si>
    <t>“He does not find a core in acquisitions,
having removed desire and lust for things taken up;
not dependent, not to be led by others,
he would properly wander in the world.</t>
  </si>
  <si>
    <t>He does not go for an essence in appropriations,
for things taken up he dispels desire and lust.
Being independent and not guidable by others—
he would fare rightly in the world.</t>
  </si>
  <si>
    <t>He finds no essence in acquisitions,
having subdued passion-desire for graspings,
independent is he, by others unled:
He would wander rightly in the world.</t>
  </si>
  <si>
    <t>Seeing no essence in mental substrata,
dispelled passionate desire for what can be grasped,
not being dependent or led by another,
such a one rightly would wander in the world.</t>
  </si>
  <si>
    <t>Seeing no essence in appropriations,
dispelled passion desire for acquisitions,
independent, not ruled by others,
they'd rightly wander in the world.</t>
  </si>
  <si>
    <t>vacasā manasā ca kammunā ca
aviruddho sammā viditvā dhammaṃ
nibbānapadābhipatthayāno
sammā so loke paribbajeyya</t>
  </si>
  <si>
    <t>Not hostile in speech, mind, or deed,
they’ve rightly understood the teaching.
Aspiring to the state of quenching,
they’d rightly wander the world.</t>
  </si>
  <si>
    <t>“Not hostile by speech, mind, and deed,
having rightly understood the Dhamma,
aspiring for the state of nibbāna,
he would properly wander in the world.</t>
  </si>
  <si>
    <t>In word, thought and deed,
not acting contrarily having rightly understood the Dhamma,
aspiring to the state of quenching—
he would fare rightly in the world.</t>
  </si>
  <si>
    <t>Having rightly found the Dhamma,
he is unobstructed in speech, mind, &amp;act.
Aspiring to unbinding,
he would wander rightly in the world.</t>
  </si>
  <si>
    <t>In speech, mind and deed to others unopposed
and knowing very well the Dharma’s full extent,
and one who is aspiring to the state of Nirvāṇa,
such a one rightly would wander in the world.</t>
  </si>
  <si>
    <t>Speech, mind, and deed,
in line with the Dhamma having rightly understood it,
aspiring for the state of nibbāna,
they’d rightly wander the world.</t>
  </si>
  <si>
    <t>yo vandati manti nunnameyya
akkuṭṭhopi na sandhiyetha bhikkhu
laddhā parabhojanaṃ na majje
sammā so loke paribbajeyya</t>
  </si>
  <si>
    <t>Not pridefully thinking, ‘they bow to me’;
though reviled, they’d still stay in touch; 
not besotted when getting food from others,
they’d rightly wander the world.</t>
  </si>
  <si>
    <t>“A bhikkhu should not be elated, thinking, ‘He venerates me,’
and though insulted, he should not nurture resentment;
he should not be intoxicated over food gained from others:
he would properly wander in the world.</t>
  </si>
  <si>
    <t>The bhikkhu should not get elated thinking “he worships me”.
Being abused he should not feel resentment.
Having received the food offered by others he should not indulge—
in that way he would fare rightly in the world</t>
  </si>
  <si>
    <t>A monk who’d not gloat, “He venerates me,”
or brood when insulted,
or be elated on receiving food from another:
He would wander rightly in the world.</t>
  </si>
  <si>
    <t>The bhikkhu not conceited thinking, “Me he reveres”,
nor on being abused does he retaliate,
nor thrilled with others donations of food,
such a one rightly would wander in the world.</t>
  </si>
  <si>
    <t>A bhikkhu should not be proud, when venerated 
neither resentful when insulted,
nor elated when receiving food from others:
they’d rightly wander the world.</t>
  </si>
  <si>
    <t>lobhañca bhavañca vippahāya
virato chedanabandhanā ca bhikkhu
so tiṇṇakathaṃkatho visallo
sammā so loke paribbajeyya</t>
  </si>
  <si>
    <t>When greed and craving to live again are cast off,
a mendicant refrains from violence and abduction;
rid of doubt, free of thorns,
they’d rightly wander the world.</t>
  </si>
  <si>
    <t>“Having abandoned greed and existence,
a bhikkhu refraining from wounding and binding,
who has overcome perplexity, without darts:
he would properly wander in the world.</t>
  </si>
  <si>
    <t>Having abandoned greed and existence,
abstaining from cutting and binding, the monk,
crossed over doubt, with barb pulled out—
he would fare rightly in the world</t>
  </si>
  <si>
    <t>Fully abandoning greed &amp;becoming,
abstaining from cutting &amp;binding (other beings),
he, having crossed over doubt, de-arrowed,
he would wander rightly in the world.</t>
  </si>
  <si>
    <t>For greed and for being, the bhikkhu’s let go,
as for injury and bondage it’s not done by him
crossed over doubts, removed is the dart,
such a one rightly would wander in the world</t>
  </si>
  <si>
    <t>Greed and becoming, a bhikkhu lets go,
splitting and binding he abstains 
rid of doubt, free of thorns,
they’d rightly wander the world.”</t>
  </si>
  <si>
    <t>sāruppaṃ attano viditvā
no ca bhikkhu hiṃseyya kañci loke
yathātathiyaṃ viditvā dhammaṃ
sammā so loke paribbajeyya</t>
  </si>
  <si>
    <t>Knowing what is suitable for themselves,
a mendicant would hurt no-one in the world;
understanding the teaching in accord with reality,
they’d rightly wander the world.</t>
  </si>
  <si>
    <t>“Having understood what is suitable for himself,
a bhikkhu would not injure anyone in the world;
having understood the Dhamma as it is,
he would properly wander in the world.</t>
  </si>
  <si>
    <t>Knowing what is suitable for himself
the monk should not harm anyone in the world.
Knowing the Dhamma according to its suchness—
he would fare rightly in the world.</t>
  </si>
  <si>
    <t>Having found what’s appropriate for himself,
the monk wouldn’t harm anyone in the world,
Having found the Dhamma as it actually is,
he would wander rightly in the world.</t>
  </si>
  <si>
    <t>A bhikkhu who knows what he himself enjoys
would not be one who harms others in the world;
realizing the Dharma as it really is,
such a one rightly would wander in the world</t>
  </si>
  <si>
    <t>Knowing what is appropriate for himself,
a bhikkhu would not harm anyone in the world;
understanding the Dhamma as it is,
they’d rightly wander the world.”</t>
  </si>
  <si>
    <t>saddho sutavā niyāmadassī
vaggagatesu na vaggasāri dhīro
lobhaṃ dosaṃ vineyya paṭighaṃ
sammā so loke paribbajeyya</t>
  </si>
  <si>
    <t>Faithful, learned, seer of the sure path,
the wise one takes no side among factions;
rid of greed, hate, and repulsion,
they’d rightly wander the world.</t>
  </si>
  <si>
    <t>“Endowed with faith, learned, a seer of the fixed course,
a wise one who, among partisans, does not take sides,
having removed greed, hatred, aversion,
he would properly wander in the world.</t>
  </si>
  <si>
    <t>Confident, learned, seeing the sure way
not taking sides among the divided,
having dispelled greed, hatred and resistance—
he would fare rightly in the world</t>
  </si>
  <si>
    <t>Convinced, learned, having seen certainty,
not following factions among those who are factious,
enlightened; his greed, aversion, &amp;irritation subdued:
He would wander rightly in the world.</t>
  </si>
  <si>
    <t>Confident and learned, one who Sees the Way,
one Wise who among sects is no sectarian;
who greed has diverted, hatred, ill-will too,
such a one rightly would wander in the world</t>
  </si>
  <si>
    <t>Confident, learned, seeing the sure path
not taking sides among the divided,
rid of greed, hatred and resistance
they’d rightly wander the world.”</t>
  </si>
  <si>
    <t>yassānusayā na santi keci
mūlā ca akusalā samūhatāse
so nirāso anāsisāno
sammā so loke paribbajeyya</t>
  </si>
  <si>
    <t>They have no underlying tendencies at all,
and are rid of unskillful roots;
free of hope, with no need for hope,
they’d rightly wander the world.</t>
  </si>
  <si>
    <t>“One who has no latent tendencies at all,
whose unwholesome roots have been uprooted,
who is wishless, without expectations:
he would properly wander in the world.</t>
  </si>
  <si>
    <t>In whom there are no latent tendencies,
whose roots of evil have been done away with,
and who rid of inclinations does not yearn,
he would fare rightly in the world.</t>
  </si>
  <si>
    <t>Inwhom there are no obsessions,
his unskillful roots uprooted,
with no longing, no
expectations:
He would wander rightly in the world.</t>
  </si>
  <si>
    <t>in whom are no hidden tendencies at all—
the roots of evil completely removed,
for them no longings left, no yearnings come anew
such a one rightly would wander in the world.</t>
  </si>
  <si>
    <t>His underlying tendencies pacified,
and unskillful roots uprooted, 
with no longing, no
expectations:
they’d rightly wander the world.”</t>
  </si>
  <si>
    <t>āsavakhīṇo pahīnamāno
sabbaṃ rāgapathaṃ upātivatto
danto parinibbuto ṭhitatto
sammā so loke paribbajeyya</t>
  </si>
  <si>
    <t>Defilements ended, conceit given up,
beyond all manner of desire;
tamed, quenched, and steadfast,
they’d rightly wander the world</t>
  </si>
  <si>
    <t>“One with influxes destroyed, with conceit abandoned,
who has transcended the entire pathway of lust,
tamed, quenched, inwardly firm,
he would properly wander in the world.</t>
  </si>
  <si>
    <t>With taints destroyed and conceit abandoned,
having abandoned all the ways of lusting,
controlled, quenched and balanced—
he would fare rightly in the world.</t>
  </si>
  <si>
    <t>His effluents ended, conceit abandoned,
beyond reach of every road to passion,
tamed, totally unbound, steadfast in mind:
He would wander rightly in the world.</t>
  </si>
  <si>
    <t>Inflows eradicated and conceit let go
and transcended the path of sexual desire,
one tamed, completely Cool and imperturbable,
such a one rightly would wander in the world</t>
  </si>
  <si>
    <t>Defilements ended, conceit abandoned,
transcended passion in every way, 
tamed, quenched and composed
they’d rightly wander the world.”</t>
  </si>
  <si>
    <t>saṃsuddhajino vivaṭṭacchado
dhammesu vasī pāragū anejo
saṅkhāranirodhañāṇakusalo
sammā so loke paribbajeyya</t>
  </si>
  <si>
    <t>A purified victor with veil drawn back,
among worldly things master, transcendent, stilled;
expert in knowledge of conditions’ cessation,
they’d rightly wander the world.</t>
  </si>
  <si>
    <t>“A purified conqueror whose coverings are removed,
a master of things, gone beyond, without impulse 
skilled in the knowledge of the cessation of conditioned things,
he would properly wander in the world.</t>
  </si>
  <si>
    <t>A conqueror of purity with veil removed
master in things experienced, gone beyond, unmoved.
Skilled in the knowledge of cessation of fabrications—
he would fare rightly in the world</t>
  </si>
  <si>
    <t>Victorious, pure, his roof opened up,3
a master of dhammas, gone beyond
&amp;unperturbed,
skilled in the knowledge of fabrication-cessation:
He would wander rightly in the world.</t>
  </si>
  <si>
    <t>A conqueror—purity perfected, remover of the veil,
with majesty of dharmas, far-shorer, inturbulent,
skilful with knowledge of conditioned things’ cessation,
such a one rightly would wander in the world</t>
  </si>
  <si>
    <t>Victorious, pure, uncovered,
a master of dhammas, gone beyond &amp; unperturbed,
expert in cessation of fabrications  knowledge 
they’d rightly wander the world.”</t>
  </si>
  <si>
    <t>atītesu anāgatesu cāpi
kappātīto aticcasuddhipañño
sabbāyatanehi vippamutto
sammā so loke paribbajeyya</t>
  </si>
  <si>
    <t>They’re over speculating on the future or past,
and understand what it means to be pure;
freed from all the sense fields,
they’d rightly wander the world.</t>
  </si>
  <si>
    <t>“One who has overcome mental constructs
about things past and future,
having overcome, wise about purity,
released from all the sense bases,
he would properly wander in the world.</t>
  </si>
  <si>
    <t>Upon things that have passed and those not yet come
not building up, having passed beyond through pure wisdom,
being completely released from the sense faculties—
he would fare rightly in the world.</t>
  </si>
  <si>
    <t>Gone beyond speculations
about futures &amp;pasts,
and—having passed by—
purified in his discernment,
fully released from all sense-media4:
He would wander rightly in the world.</t>
  </si>
  <si>
    <t>Of wisdom purified surmounting both
past and the future, gone beyond time,
and in every way free from sense-bases,
such a one rightly would wander in the world.</t>
  </si>
  <si>
    <t>Of purified wisdom 
gone beyond past and future,
fully free from sense-fields,
they’d rightly wander the world.”</t>
  </si>
  <si>
    <t>aññāya padaṃ samecca dhammaṃ
vivaṭaṃ disvāna pahānamāsavānaṃ
sabbupadhīnaṃ parikkhayā
sammā so loke paribbajeyya</t>
  </si>
  <si>
    <t>The state of peace is understood, the truth is comprehended,
they’ve openly seen defilements cast off;
and with the ending of all attachments,
they’d rightly wander the world.”</t>
  </si>
  <si>
    <t>“Having known the state, having penetrated the Dhamma,
having seen clearly the abandoning of the influxes,
with the utter destruction of all acquisitions,</t>
  </si>
  <si>
    <t>Knowing the path, understanding the Dhamma,
seeing the open, the abandonment of taints,
with destructions of all appropriations—
he would fare rightly in the world</t>
  </si>
  <si>
    <t>Knowing          the state,
meeting          the Dhamma,
seeing          the opened-up
when his effluents
are abandoned
from the ending
of all acquisitions:
He would wander rightly in the world.”</t>
  </si>
  <si>
    <t>Final Knowledge of the State, having realized the Dharma,
having seen openly the letting-go of inflows,
with all the substrata completely dissolved,
such a one rightly would wander in the world</t>
  </si>
  <si>
    <t>“knowing nibbana, realizing the Dhamma,
clearly seen the abandoning of defilements,
with the ending of all attachments,
they’d rightly wander the world.”</t>
  </si>
  <si>
    <t>addhā hi bhagavā tatheva etaṃ
yo so evaṃvihārī danto bhikkhu
sabbasaṃyojaniye ca vītivatto
sammā so loke paribbajeyyāti.</t>
  </si>
  <si>
    <t>“Clearly, Blessed One, it is just as you say.
One who lives like this is a tamed mendicant,
beyond all fetters and yokes:
they’d rightly wander the world.”</t>
  </si>
  <si>
    <t>“Surely, Blessed One, it is just so:
one who dwells thus is a tamed bhikkhu [66]
and has transcended all the things that fetter:
he would properly wander in the world.”</t>
  </si>
  <si>
    <t>Certainly indeed, O Blessed one, that is just so:
Whatever monk lives controlled in that way
and has gone beyond all things that fetter—
he would fare rightly in the world</t>
  </si>
  <si>
    <t>“Yes, Blessed One, that’s just how it is.
Any monk dwelling thus,
tamed, gone totally beyond
all things
conducive for fetters5:
He would wander rightly in the world.”</t>
  </si>
  <si>
    <t>Indeed, O Blessed One, certainly it is thus,
for that bhikkhu tamed, living like this—
one who beyond all the fetters has passed,
such a one rightly would wander in the world</t>
  </si>
  <si>
    <t>“Indeed, Blessed One, it is just so:
one who dwells thus is a tamed bhikkhu
and has transcended all the things that fetter:
they’d rightly wander the world.”</t>
  </si>
  <si>
    <t>4.6  
JARA
Old age</t>
  </si>
  <si>
    <t>A monk, living withdrawn,
enjoying a dwelling secluded:
They say it is fitting of him
That he would not manifest self in any settled abiding</t>
  </si>
  <si>
    <t>The sage is independent everywhere,
they don’t form likes or dislikes.
Lamentation and fear of loss
do not adhere,
Like water on a leaf.</t>
  </si>
  <si>
    <t>As a water drop on a lotus leaf,
as water on a red lily,
doesn’t adhere,
so the sage
doesn’t adhere
to the seen, the heard, or the sensed;</t>
  </si>
  <si>
    <t>Thus the purified man does not imagine anything
Regarding what is seen, heard, or felt.
He does not want purity through what is extraneous;
Indeed, he is neither passionate nor impassive.</t>
  </si>
  <si>
    <t>4.7 
TISSAMETTEYYA
Disadvantages of Sex</t>
  </si>
  <si>
    <t>4.8 
PASŪRA
Disadvantages of Debate</t>
  </si>
  <si>
    <t>4.9 
MĀGANDIYA
Learns the Muni’s Life</t>
  </si>
  <si>
    <r>
      <rPr>
        <rFont val="Roboto"/>
        <i/>
        <color rgb="FF202124"/>
        <sz val="11.0"/>
      </rPr>
      <t>Idaṁ</t>
    </r>
    <r>
      <rPr>
        <rFont val="Roboto"/>
        <i val="0"/>
        <color rgb="FF202124"/>
        <sz val="11.0"/>
      </rPr>
      <t> (neuter) refers to the body (</t>
    </r>
    <r>
      <rPr>
        <rFont val="Roboto"/>
        <i/>
        <color rgb="FF202124"/>
        <sz val="11.0"/>
      </rPr>
      <t>rūpa</t>
    </r>
    <r>
      <rPr>
        <rFont val="Roboto"/>
        <i val="0"/>
        <color rgb="FF202124"/>
        <sz val="11.0"/>
      </rPr>
      <t>) not to the girl. It’s a meaningful distinction; the Buddha was criticizing the nature of the body, not shaming the person.</t>
    </r>
  </si>
  <si>
    <t>4.10
PURĀBEDHA
Before Breaking-up”: a Muni’s Qualities</t>
  </si>
  <si>
    <t>4.14
Tuvaṭaka
Quick Way</t>
  </si>
  <si>
    <t xml:space="preserve">4.15 
ATTADAṆḌA
Taking weapons </t>
  </si>
  <si>
    <t>4.16 
SĀRIPUTTA</t>
  </si>
  <si>
    <t>3.11 
Nālaka, Asita and the Buddha’s
advice</t>
  </si>
  <si>
    <t>“Moneyyaṁ te upaññissaṁ,
(iti bhagavā)
Dukkaraṁ durabhisambhavaṁ;
Handa te naṁ pavakkhāmi,
Santhambhassu daḷho bhava.</t>
  </si>
  <si>
    <t>“I shall school you in sagacity,”
said the Buddha,
“so difficult and challenging.
Come, I shall tell you all about it.
Brace yourself; stay strong!</t>
  </si>
  <si>
    <t>“I will describe munihood to you,”
(the Blessed One said),
“hard to practice and hard to master.
Come, I will tell you about it —
brace yourself and be firm.</t>
  </si>
  <si>
    <t>“I’ll teach you
a sagacity          hard to do,
hard to master.
Come now, I’ll tell you.
Be steadfast. Be firm.</t>
  </si>
  <si>
    <t>Knowledge of Silence I’ll convey,
hard to do, to master difficult,
so be both firm and resolute
and I’ll speak upon this thing.</t>
  </si>
  <si>
    <t>See also: AN 3:123; Dhp 268–269; Iti 66–67; Sn 1:12</t>
  </si>
  <si>
    <t>Samānabhāgaṁ kubbetha,
Gāme akkuṭṭhavanditaṁ;
Manopadosaṁ rakkheyya,
Santo anuṇṇato care.</t>
  </si>
  <si>
    <t>In the village, keep the same attitude
no matter if reviled or praised.
Guard against ill-tempered thoughts,
wander peaceful, not frantic.</t>
  </si>
  <si>
    <t>“One should have the same attitude181
whether one is insulted or venerated in the village.
One should guard against anger in the mind;
one should keep calm, without being elated.</t>
  </si>
  <si>
    <t>Practice even-mindedness,
for in a village
there’s praise &amp;abuse.
Ward off any flaw in the heart.
Go about calmed &amp;not haughty.</t>
  </si>
  <si>
    <t>In town there’s always praise and blame,
so practise even-mindedness,
guard against faults of mind—
fare calm and free from arrogance</t>
  </si>
  <si>
    <t>Uccāvacā niccharanti,
Dāye aggisikhūpamā;
Nāriyo muniṁ palobhenti,
Tā su taṁ mā palobhayuṁ.</t>
  </si>
  <si>
    <t>Many different things come up,
like tongues of fire in a forest.
Women try to seduce a sage—
let them not seduce you!</t>
  </si>
  <si>
    <t>“Diverse impressions high and low
come forth like flames in a forest.
Women try to seduce a muni —
do not let them seduce you!</t>
  </si>
  <si>
    <t>High &amp;low things will come up
like fire-flames in a forest.
Women seduce a sage.
May they not seduce you.2
Abstaining from</t>
  </si>
  <si>
    <t>As crown-fire crests
and forest-fuel flies up,
so do women tempt the sage—
but be not by them tempted.</t>
  </si>
  <si>
    <t>Virato methunā dhammā,
Hitvā kāme paropare;
Aviruddho asāratto,
Pāṇesu tasathāvare.</t>
  </si>
  <si>
    <t>Refraining from sex,
having left behind sensual pleasures high and low,
don’t be hostile or attached
to living creatures firm or frail.</t>
  </si>
  <si>
    <t>“Refraining from sexual intercourse,
having given up sensual pleasures fine and coarse;
one should not be hostile or attached
to living beings both frail and firm.</t>
  </si>
  <si>
    <t>Abstaining from sexual intercourse,
abandoning various sensual pleasures,
be unopposed, unattached,
to beings moving &amp;still.</t>
  </si>
  <si>
    <t>Refrain from sexual dharmas,
whether pleasures fine or coarse,
be not attached, repelled,
for beings weak or strong.</t>
  </si>
  <si>
    <t>Yathā ahaṁ tathā ete,
Yathā ete tathā ahaṁ;
Attānaṁ upamaṁ katvā,
Na haneyya na ghātaye.</t>
  </si>
  <si>
    <t>As am I, so are they;
as are they, so am I’—
Treating others like oneself,
neither kill nor incite to kill.</t>
  </si>
  <si>
    <t>“[Reflecting] ‘As I am, so are they;
as they are, so am I,’
having taken oneself as the criterion,
one should not kill or cause others to kill.</t>
  </si>
  <si>
    <t>‘As I am, so are these.
As are these, so am I.’
Drawing the parallel to
yourself,
neither kill nor get others to kill.</t>
  </si>
  <si>
    <t>Comparing others with oneself—
“As I am so are they” and
“As they are so am I”—
kill not nor cause to kill.</t>
  </si>
  <si>
    <t>Hitvā icchañca lobhañca,
Yattha satto puthujjano;
Cakkhumā paṭipajjeyya,
Tareyya narakaṁ imaṁ.</t>
  </si>
  <si>
    <t>Leaving behind desire and greed
for what ordinary people are attached to,
a seer would set out to practice,
they’d cross over this abyss.</t>
  </si>
  <si>
    <t>“Having given up desire and greed
for that to which the worldling is attached,
one with vision should practice
so that one may cross this inferno.</t>
  </si>
  <si>
    <t>Abandoning the wants &amp;greed
where people run-of-the-mill are stuck,
practice with vision,
cross over this hell.</t>
  </si>
  <si>
    <t>Wishes and greed give up to which
ordinary persons are attached,
be one-with-vision and set out
to go across this hellish state.</t>
  </si>
  <si>
    <t>Ūnūdaro mitāhāro,
Appicchassa alolupo;
Sadā icchāya nicchāto,
Aniccho hoti nibbuto.</t>
  </si>
  <si>
    <t>With empty stomach, taking limited food,
few in wishes, not greedy;
truly hungerless regarding all desires,
desireless, one is quenched.</t>
  </si>
  <si>
    <t>“Not filling one’s belly, moderate in food,
one should be of few desires, without longing.
One is hungerless with respect to desire;
desireless, one is quenched.</t>
  </si>
  <si>
    <t>Stomach not full,
moderate in food,
modest,
not being greedy,
always not hungering for wants:
One without hunger
is one who’s unbound.</t>
  </si>
  <si>
    <t>Empty-bellied, with little food,
few in wishes, greedless too,
the wishless he, and hungerless,
the wishless come quite Cool.</t>
  </si>
  <si>
    <t>Sa piṇḍacāraṁ caritvā,
Vanantamabhihāraye;
Upaṭṭhito rukkhamūlasmiṁ,
Āsanūpagato muni.</t>
  </si>
  <si>
    <t>Having wandered for alms,
they’d take themselves into the forest;
and nearing the foot of a tree,
the sage would take their seat.</t>
  </si>
  <si>
    <t>“Having wandered on alms round,
he should resort to the woods.
Staying at the foot of a tree,
the muni should take his seat.</t>
  </si>
  <si>
    <t>Having gone on his almsround, the sage
should then go to the forest,
approaching the root of a tree,
taking a seat.</t>
  </si>
  <si>
    <t>The sage on almsround having walked,
going then to lonely woods
and drawing near the roots of a tree,
takes a seat just there.</t>
  </si>
  <si>
    <t>Sa jhānapasuto dhīro,
Vanante ramito siyā;
Jhāyetha rukkhamūlasmiṁ,
Attānamabhitosayaṁ.</t>
  </si>
  <si>
    <t>That wise one intent on absorption,
would delight within the forest.
They’d practice absorption at the foot of a tree,
filling themselves with bliss.</t>
  </si>
  <si>
    <t>“That steadfast one intent on jhāna
should take delight in the woods.
He should meditate at the foot of a tree,
making himself fully content.</t>
  </si>
  <si>
    <t>The enlightened one, intent on jhāna,
should find delight in the forest,
should practice jhāna at the foot of a tree,
attaining his own satisfaction.</t>
  </si>
  <si>
    <t>Firmly intent on jhāna
and delighting in the woods;
who at the tree-roots meditates,
satisfies himself.</t>
  </si>
  <si>
    <t>Tato ratyā vivasāne,
Gāmantamabhihāraye;
Avhānaṁ nābhinandeyya,
Abhihārañca gāmato.</t>
  </si>
  <si>
    <t>Then, at the end of the night,
they’d take themselves into a village.
They’d not welcome being called,
nor offerings brought from the village.</t>
  </si>
  <si>
    <t>“Then, with the passing of the night,
he should approach the village.
He should not welcome invitations
and offerings brought from the village.</t>
  </si>
  <si>
    <t>Then, at the end of the night,
he should go to the village,
not delighting in an invitation
or gift from the village.</t>
  </si>
  <si>
    <t>Until the end of night,
when to a village he goes,
there, by gifts not pleased
nor by invitations.</t>
  </si>
  <si>
    <t>Na munī gāmamāgamma,
Kulesu sahasā care;
Ghāsesanaṁ chinnakatho,
Na vācaṁ payutaṁ bhaṇe.</t>
  </si>
  <si>
    <t>A sage who has come to a village
would not walk hastily among the families.
They’d not discuss their search for food,
nor would they speak suggestively.</t>
  </si>
  <si>
    <t>“When the muni has come to the village,
he should not behave rashly among families.
Having cut off talk aimed at getting food,
he should not utter suggestive words.</t>
  </si>
  <si>
    <t>Having gone to the village,
the sage should not go
forcing his way among families.
Cutting off chatter,
he shouldn’t utter a scheming word.</t>
  </si>
  <si>
    <t>The sage to village come,
hastens not among the houses,
but cuts o fftalk while seeking food,
and refrains from hints.</t>
  </si>
  <si>
    <t>Alatthaṁ yadidaṁ sādhu,
Nālatthaṁ kusalaṁ iti;
Ubhayeneva so tādī,
Rukkhaṁvupanivattati.</t>
  </si>
  <si>
    <t>I got something, that’s good.
I got nothing, that’s fine.’
Impartial in both cases,
they return right to the tree.</t>
  </si>
  <si>
    <t>“‘I received something, that is good;
I received nothing, that is fine.’
In both situations remaining impartial,
he returns to the tree itself.</t>
  </si>
  <si>
    <t>‘I got something,
that’s fine.
I got nothing,
that, too, is good.’
Being such with regard to both,
he returns to the very same tree.</t>
  </si>
  <si>
    <t>“Good it is that I have gained”,
“good that I have not as well”.
One such thinks both alike
returning to his tree.</t>
  </si>
  <si>
    <t>Sa pattapāṇi vicaranto,
Amūgo mūgasammato;
Appaṁ dānaṁ na hīḷeyya,
Dātāraṁ nāvajāniyā.</t>
  </si>
  <si>
    <t>Wandering with bowl in hand,
not dumb, but thought to be dumb,
they wouldn’t scorn a tiny gift,
nor look down upon the giver.</t>
  </si>
  <si>
    <t>“Wandering with bowl in hand,
not dumb though considered dumb,
one should not scorn a small offering
nor should one despise the giver.</t>
  </si>
  <si>
    <t>Wandering with his bowl in hand
—not dumb,
but seemingly dumb—
he shouldn’t despise a piddling gift
nor disparage the giver.</t>
  </si>
  <si>
    <t>Going about with bowl in hand
not dumb but others think him so;
he does not scorn a trifling gift,
nor despise its donor.</t>
  </si>
  <si>
    <t>Uccāvacā hi paṭipadā,
Samaṇena pakāsitā;
Na pāraṁ diguṇaṁ yanti,
Nayidaṁ ekaguṇaṁ mutaṁ.</t>
  </si>
  <si>
    <t>For the practice has many aspects,
as explained by the Ascetic.
They do not go to the far shore twice,
nor having gone once do they fall away.</t>
  </si>
  <si>
    <t>“High and low is the practice
taught by the Ascetic.
They do not go in two ways to the far shore;
[yet] it is not experienced in a single way.</t>
  </si>
  <si>
    <t>High &amp;low are the practices
proclaimed by the contemplative.
They don’t go twice to the further shore.
This [unbinding] isn’t sensed only once.</t>
  </si>
  <si>
    <t>Refined and basic practices
the Samaṇa’s made clear;
but Beyond with both they not go,
nor through one only experience</t>
  </si>
  <si>
    <t>Yassa ca visatā natthi,
Chinnasotassa bhikkhuno;
Kiccākiccappahīnassa,
Pariḷāho na vijjati.</t>
  </si>
  <si>
    <t>When a mendicant has no creeping,
and has cut the stream of craving,
and given up all the various duties,
no fever is found in them.</t>
  </si>
  <si>
    <t>“For one who has no diffusion,
for a bhikkhu who has cut off the stream,
who has abandoned what is to be done and not done,
no fever [of defilements] exists.</t>
  </si>
  <si>
    <t>In one who has no attachment—
the monk who has cut the stream,4
abandoning what is
&amp;isn’t a duty—
no fever is found.</t>
  </si>
  <si>
    <t>In whom no craving’s left—
that bhikkhu cut across the stream,
“should do, should not do”, given up,
in him no fever’s found.</t>
  </si>
  <si>
    <t>Moneyyaṁ te upaññissaṁ,
Khuradhārūpamo bhave;
Jivhāya tālumāhacca,
Udare saññato siyā.</t>
  </si>
  <si>
    <t>I shall school you in sagacity.
Practice as if you were licking a razor’s edge.
With tongue pressed to the roof of your mouth,
be restrained regarding your stomach.</t>
  </si>
  <si>
    <t>“I will describe munihood to you,”
(the Blessed One said).
“One should treat it like the blade of a razor.
Having pressed one’s palate with the tongue,
exert control over one’s belly.</t>
  </si>
  <si>
    <t>I’ll teach you
sagacity:Be like a razor’s edge.
Pressing tongue against palate,
restrain your stomach.</t>
  </si>
  <si>
    <t>Further than this, wisdom still I teach:
Be like a razor’s edge,
tongue-tip upon the palate,
thus be restrained in belly.</t>
  </si>
  <si>
    <t>Alīnacitto ca siyā,
Na cāpi bahu cintaye;
Nirāmagandho asito,
Brahmacariyaparāyaṇo.</t>
  </si>
  <si>
    <t>Don’t be sluggish in mind,
nor think overly much.
Be carrion-free and unattached,
committed to the spiritual life.</t>
  </si>
  <si>
    <t>“One should not be sluggish in mind,
nor should one ponder much.
Be unpolluted, unattached,
with the spiritual life as one’s support.</t>
  </si>
  <si>
    <t>Neither be lazy in mind,
nor have many thoughts.
Be free of raw stench,5
independent,
having the holy life as your aim.</t>
  </si>
  <si>
    <t>Be not indolent in mind,
but neither think too much,
and be free from all carrion-stench:
aim at life of purity.</t>
  </si>
  <si>
    <t>Ekāsanassa sikkhetha,
Samaṇūpāsanassa ca;
Ekattaṁ monamakkhātaṁ,
Eko ce abhiramissasi;
Atha bhāhisi dasadisā.</t>
  </si>
  <si>
    <t>Train in a lonely seat,
attending closely to ascetics;
solitude is sagacity, they say.
If you welcome solitude,
you’ll light up the ten directions.</t>
  </si>
  <si>
    <t>“One should train in a solitary seat
and in the exercise of an ascetic.
It is solitude that is called munihood.
If you will delight alone,
you will light up the ten directions.</t>
  </si>
  <si>
    <t>Train in     solitude
&amp;the contemplative’s task,
Solitude
is called
sagacity.
Alone, you truly delight
&amp;shine in the ten directions.</t>
  </si>
  <si>
    <t>Train yourself in solitary life,
the way of life of samaṇas,
take high delight in being one
its called the Singleness.
With this you will shine forth
in all directions ten,</t>
  </si>
  <si>
    <t>Sutvā dhīrānaṁ nighosaṁ,
Jhāyīnaṁ kāmacāginaṁ;
Tato hiriñca saddhañca,
Bhiyyo kubbetha māmako.</t>
  </si>
  <si>
    <t>Having heard the words of the wise,
the meditators who’ve given up sensual desires,
a follower of mine would develop
conscience and faith all the more.</t>
  </si>
  <si>
    <t>“Having heard the acclaim of the wise,
of the meditators who have renounced sensual pleasures,
my follower should develop even more
a sense of moral shame and faith.</t>
  </si>
  <si>
    <t>On hearing the fame of the enlightened
—those who practice jhāna,
relinquishing sensuality—
my disciple should foster
all the more
shame &amp;conviction.</t>
  </si>
  <si>
    <t>then the praises of the wise, those skilled
in meditation—sensuality let go,
as one loving me, you’ll all the more
grow in faith and modesty.</t>
  </si>
  <si>
    <t>Taṁ nadīhi vijānātha,
Sobbhesu padaresu ca;
Saṇantā yanti kusobbhā,
Tuṇhī yanti mahodadhī.</t>
  </si>
  <si>
    <t>Understand this by the way streams move
in clefts and crevices:
the little creeks flow on babbling,
while silent flow the great rivers.</t>
  </si>
  <si>
    <t>“Understand this by way of rivers
and in terms of clefts and ravines.
The creeks flow on noisily,
but silently the great rivers flow.</t>
  </si>
  <si>
    <t>Know from the rivers
in clefts &amp;in crevices:
Those in small channels flow
noisily,
the great flow silent.</t>
  </si>
  <si>
    <t>Know this from waters’ flow—
those by rocks and pools—
such rills and becks gush noisily,
great waterways flow quiet.</t>
  </si>
  <si>
    <t>Yadūnakaṁ taṁ saṇati,
Yaṁ pūraṁ santameva taṁ;
Aḍḍhakumbhūpamo bālo,
Rahado pūrova paṇḍito.</t>
  </si>
  <si>
    <t>What is lacking, babbles;
what is full is at peace.
The fool is like a half-full pot;
the wise like a brimfull lake.</t>
  </si>
  <si>
    <t>“What is empty makes a noise;
what is full is ever quiet.
The fool is like a half-full barrel,
the wise man like a full lake.</t>
  </si>
  <si>
    <t>Whatever’s deficient
makes noise.
Whatever is full
is quiet.
The fool is like a half-empty pot;
one who is wise, a full lake.</t>
  </si>
  <si>
    <t>What is unfilled makes noise
but silent is what’s full,
the fool is like the pot half-filled,
the wise one’s like a lake that’s full.</t>
  </si>
  <si>
    <t>Yaṁ samaṇo bahuṁ bhāsati,
Upetaṁ atthasañhitaṁ;
Jānaṁ so dhammaṁ deseti,
Jānaṁ so bahu bhāsati.</t>
  </si>
  <si>
    <t>When the Ascetic speaks much
it is relevant and meaningful:
knowing, he teaches the Dhamma;
knowing, he speaks much.</t>
  </si>
  <si>
    <t>“When the Ascetic speaks much,184
it is meaningful and beneficial.
Knowing, he teaches the Dhamma;
knowing, he speaks much.</t>
  </si>
  <si>
    <t>A contemplative who speaks a great deal
endowed with meaning:
Knowing, he teaches the Dhamma;
knowing, he speaks a great deal.</t>
  </si>
  <si>
    <t>When a samaṇa speaks much
full of goodness and meaning:
Knowing Dharma he speaks,
Knowing he speaks so much.</t>
  </si>
  <si>
    <t>Yo ca jānaṁ saṁyatatto,
Jānaṁ na bahu bhāsati;
Sa munī monamarahati,
Sa munī monamajjhagā”ti.</t>
  </si>
  <si>
    <t>But one who, knowing, is restrained,
knowing, does not speak much;
that sage is worthy of sagacity,
that sage has achieved sagacity.”</t>
  </si>
  <si>
    <t>“But one who, knowing, is self-controlled,
who, knowing, does not speak much:
that muni is worthy of munihood;
that muni has achieved munihood.”</t>
  </si>
  <si>
    <t>But he who,
knowing, is restrained,
knowing, doesn’t speak a great deal:
He is a sage
worthy of sagehood.
He is a sage,
his sagehood attained.”</t>
  </si>
  <si>
    <t>But who, Knowing, is self-restrained,
Knowing, he speaks not much:
That Sage is worth to Silence,
a Sage to Silence reached.</t>
  </si>
  <si>
    <t>1.3 KHAGGAVISĀṆA
Rhinoceros horn
Teaching for the Hermit-minded</t>
  </si>
  <si>
    <t>Sabbesu bhūtesu nidhāya daṇḍaṁ,
Aviheṭhayaṁ aññatarampi tesaṁ;
Na puttamiccheyya kuto sahāyaṁ,
Eko care khaggavisāṇakappo</t>
  </si>
  <si>
    <t>When you’ve laid down arms toward all creatures,
not harming even a single one,
don’t wish for a child, let alone a companion:
live alone like a rhino’s horn.</t>
  </si>
  <si>
    <t>Having put down the rod toward all beings,
not harming a single one among them,
one should not desire a son, how then a companion?
One should live alone like a rhinoceros horn.</t>
  </si>
  <si>
    <t>Renouncing violence
for all living beings,
harming not even one of them,
you would not wish for offspring,
so how a companion?
Wander alone1
like a rhinoceros.</t>
  </si>
  <si>
    <t>Put by the rod for all that lives,
tormenting not a single one;
long not for child, how then for friend?
fare singly as the rhino’s horn</t>
  </si>
  <si>
    <t>See also: SN 21:10; SN 35:63; AN 9:40; Ud 4:5; Iti 15; Iti 38</t>
  </si>
  <si>
    <t>Saṁsaggajātassa bhavanti snehā,
Snehanvayaṁ dukkhamidaṁ pahoti;
Ādīnavaṁ snehajaṁ pekkhamāno,
Eko care khaggavisāṇakappo”.</t>
  </si>
  <si>
    <t>Those with close relationships have affection,
following which this pain arises.
Seeing this danger born of affection,
live alone like a rhino’s horn.</t>
  </si>
  <si>
    <t>For one who has formed bonds, there is affection;66
following on affection, this suffering arises.
Discerning the danger born of affection,
one should live alone like a rhinoceros horn.</t>
  </si>
  <si>
    <t>For a person by nature entangled
there are affections;
on the heels of affection, this pain.
Seeing the drawback born of affection,
wander alone
like a rhinoceros.</t>
  </si>
  <si>
    <t>Attraction comes from meetings with,
and from attraction dukkha’s born;
see danger of attraction then,
fare singly as the rhino’s horn</t>
  </si>
  <si>
    <t>Mitte suhajje anukampamāno,
Hāpeti atthaṁ paṭibaddhacitto;
Etaṁ bhayaṁ santhave pekkhamāno, Variant: santhave → sandhave (mr)
Eko care khaggavisāṇakappo</t>
  </si>
  <si>
    <t>When feelings for friends and loved ones
are tied up in selfish love, you miss out on the goal.
Seeing this peril in intimacy,
live alone like a rhino’s horn.</t>
  </si>
  <si>
    <t>Sympathizing with friends dear to one’s heart,
with mind attached, one forsakes the good.
Seeing this peril in intimacy,
one should live alone like a rhinoceros horn.</t>
  </si>
  <si>
    <t>One whose mind
is enmeshed in sympathy
for friends &amp;companions,
neglects the goal.
Seeing this danger in intimacy,
wander alone
like a rhinoceros.</t>
  </si>
  <si>
    <t>One full of ruth for friends well-loved
with mind attached,² neglects the good,
seeing this danger in association,
fare singly as the rhino’s horn</t>
  </si>
  <si>
    <t>Vaṁso visālova yathā visatto,
Puttesu dāresu ca yā apekkhā;
Vaṁsakkaḷīrova asajjamāno, Variant: Vaṁsakkaḷīrova → vaṁsakaḷīrova (bj); vaṁsākaḷīro va (sya-all, km, pts-vp-pli1)
Eko care khaggavisāṇakappo</t>
  </si>
  <si>
    <t>As a spreading bamboo gets entangled,
so does concern for partners and children.
Like a bamboo shoot unimpeded,
live alone like a rhino’s horn</t>
  </si>
  <si>
    <t>As widespread bamboo becomes entwined,
just so is concern for wives and sons. [7]
But like a bamboo shoot, not getting stuck,67
one should live alone like a rhinoceros horn.</t>
  </si>
  <si>
    <t>Like spreading bamboo,
entwined,
is concern for offspring &amp;spouses.
Like a bamboo sprout,
unentangling,
wander alone
like a rhinoceros.</t>
  </si>
  <si>
    <t>Tangled as the crowding bamboo boughs
is fond regard for partner, child:
as the tall tops are tangle-free,
fare singly as the rhino’s horn</t>
  </si>
  <si>
    <t>Migo araññamhi yathā abaddho, Variant: abaddho → abandho (sya-all, km)
Yenicchakaṁ gacchati gocarāya;
Viññū naro seritaṁ pekkhamāno,
Eko care khaggavisāṇakappo</t>
  </si>
  <si>
    <t>As a wild deer loose in the forest
grazes wherever it wants,
a smart person looking for freedom would
live alone like a rhino’s horn.</t>
  </si>
  <si>
    <t>As a deer unbound in the forest
goes off to graze wherever it wants,
so a wise person, looking out for freedom,
should live alone like a rhinoceros horn.</t>
  </si>
  <si>
    <t>As a deer in the wilds,
unfettered,2
goes for forage wherever it wants:
The observant person, valuing freedom,
wanders alone
like a rhinoceros.</t>
  </si>
  <si>
    <t>The deer untethered roams the woods
going where’er it wants to graze:
seeing its liberty, wise one,
fare singly as the rhino’s horn.</t>
  </si>
  <si>
    <t>Āmantanā hoti sahāyamajjhe,
Vāse ṭhāne gamane cārikāya;
Anabhijjhitaṁ seritaṁ pekkhamāno,
Eko care khaggavisāṇakappo”.</t>
  </si>
  <si>
    <t>When among friends, whether staying in place
or going on a journey, you’re always on call.
Looking for the uncoveted freedom,
live alone like a rhino’s horn.</t>
  </si>
  <si>
    <t>One is addressed in the midst of companions,
whether resting, standing, going, or traveling.
Looking out for the freedom that is not coveted,
one should live alone like a rhinoceros horn.</t>
  </si>
  <si>
    <t>In the midst of companions
—when staying at home,
when going out wandering—
you are prey to requests.
Valuing the freedom
that no one else covets,
wander alone
like a rhinoceros.</t>
  </si>
  <si>
    <t>Mong friends one’s asked for this or that,
when resting, standing, going on tour,
seeing the liberty few desire,
fare singly as the rhino’s horn</t>
  </si>
  <si>
    <t>Khiḍḍā ratī hoti sahāyamajjhe,
Puttesu ca vipulaṁ hoti pemaṁ;
Piyavippayogaṁ vijigucchamāno,
Eko care khaggavisāṇakappo”</t>
  </si>
  <si>
    <t>Among friends you have fun and games,
and for children you are full of love.
Though loathe to depart from those you hold dear,
live alone like a rhino’s horn.</t>
  </si>
  <si>
    <t>There is play and delight in the midst of companions,
and affection for one’s sons is vast.
Averse to separation from those who are dear,
one should live alone like a rhinoceros horn.</t>
  </si>
  <si>
    <t>There is sporting &amp;love
in the midst of companions,
&amp;abundant love for offspring.
Feeling disgust
at the prospect of parting
from those who’d be dear,
wander alone
like a rhinoceros.</t>
  </si>
  <si>
    <t>’Mong friends there’s sexy playfulness,
and love for children’s very great,
while loath to part from those beloved,
fare singly as the rhino’s horn</t>
  </si>
  <si>
    <t>Cātuddiso appaṭigho ca hoti,
Santussamāno itarītarena;
Parissayānaṁ sahitā achambhī,
Eko care khaggavisāṇakappo”</t>
  </si>
  <si>
    <t>At ease in any quarter, unresisting,
content with whatever comes your way;
prevailing over adversities, dauntless,
live alone like a rhino’s horn.</t>
  </si>
  <si>
    <t>At home in the four directions, unrepelled,
contented with anything whatsoever,
enduring obstacles, fearless,
one should live alone like a rhinoceros horn.</t>
  </si>
  <si>
    <t>Without resistance in all four directions,
content with whatever you get,
enduring troubles without panic,
wander alone
like a rhinoceros.</t>
  </si>
  <si>
    <t>Resentment none to quarters four,
and well-content with this and that,
enduring dangers undismayed,
fare singly as the rhino’s horn.</t>
  </si>
  <si>
    <t>Dussaṅgahā pabbajitāpi eke,
Atho gahaṭṭhā gharamāvasantā;
Appossukko paraputtesu hutvā,
Eko care khaggavisāṇakappo”.</t>
  </si>
  <si>
    <t>Even some renunciates are hard to please,
as are some layfolk dwelling at home.
Don’t worry about others’ children,
live alone like a rhino’s horn.</t>
  </si>
  <si>
    <t>Even some monastics are hard to please;
so, too, householders living at home.
Being unconcerned about others’ sons,
one should live alone like a rhinoceros horn.</t>
  </si>
  <si>
    <t>They are hard to please,
some of those gone forth,
as well as those living the household life.
Being unconcerned
with the offspring of others,
wander alone
like a rhinoceros.</t>
  </si>
  <si>
    <t>Some home-forsakers ill consort,
as householders who live at home;
be unconcerned with others’ kids!
fare singly as the rhino’s horn</t>
  </si>
  <si>
    <t>Oropayitvā gihibyañjanāni,
Sañchinnapatto yathā koviḷāro; Variant: Sañchinnapatto → saṁsīnapatto (bj, pts-vp-pli1)
Chetvāna vīro gihibandhanāni,
Eko care khaggavisāṇakappo”</t>
  </si>
  <si>
    <t>Having shed the marks of the home life,
like the fallen leaves of the Shady Orchid Tree;
having cut the bonds of the home life, a hero would
live alone like a rhino’s horn.</t>
  </si>
  <si>
    <t>Having discarded the marks of a layman
like a koviḷāra tree whose leaves are shed,68 [8]
having cut off a layman’s bonds, the hero
should live alone like a rhinoceros horn.</t>
  </si>
  <si>
    <t>Cutting off the householder’s marks,3
like a kovilara tree
that has shed its leaves,
the enlightened one, cutting all household ties,
wanders alone
like a rhinoceros.</t>
  </si>
  <si>
    <t>Let fall the marks of householder,
as Koviḷāra’s parted leaves;
a hero, having house-ties cut,
fare singly as the rhino’s horn.</t>
  </si>
  <si>
    <t>Sace labhetha nipakaṁ sahāyaṁ,
Saddhiṁ caraṁ sādhuvihāridhīraṁ;
Abhibhuyya sabbāni parissayāni,
Careyya tenattamano satīmā</t>
  </si>
  <si>
    <t>If you find an alert companion,
a wise and virtuous friend,
then, overcoming all adversities,
wander with them, joyful and mindful</t>
  </si>
  <si>
    <t>If one should find a judicious companion,
a fellow wanderer, of good behavior, resolute,
having overcome all obstacles, one should
live with him, satisfied and mindful.</t>
  </si>
  <si>
    <t>If you gain an astute companion,
a fellow traveler, right-living, enlightened,
overcoming all troubles,
go with him, gratified,
mindful.</t>
  </si>
  <si>
    <t>For practice if one finds a friend—
prudent, well-behaved, and wise,
mindful, joyful, live as one
all troubles overcoming</t>
  </si>
  <si>
    <t>No ce labhetha nipakaṁ sahāyaṁ,
Saddhiṁ caraṁ sādhuvihāridhīraṁ;
Rājāva raṭṭhaṁ vijitaṁ pahāya,
Eko care mātaṅgaraññeva nāgo”. Variant: mātaṅgaraññeva nāgo → khaggavisāṇakappo (bj, pts-vp-pli1)</t>
  </si>
  <si>
    <t>If you find no alert companion,
no wise and virtuous friend,
then, like a king who flees his conquered realm,
wander alone like a tusker in the wilds</t>
  </si>
  <si>
    <t>But if one does not find a judicious companion,
a fellow wanderer, of good behavior, resolute,
like a king who has abandoned a conquered realm,70
one should live alone like a rhinoceros horn.71</t>
  </si>
  <si>
    <t>If you don’t gain an astute companion,
a fellow traveler, right-living &amp;wise,
wander alone
like a king renouncing his kingdom,
like the elephant in the Mataṅga wilds,
[his herd].4</t>
  </si>
  <si>
    <t>But if you do not find a friend—
prudent, well-behaved, and wise,
then like a king who leaves his conquered lands,
fare singly as the rhino’s horn</t>
  </si>
  <si>
    <t>Addhā pasaṁsāma sahāyasampadaṁ,
Seṭṭhā samā sevitabbā sahāyā;
Ete aladdhā anavajjabhojī,
Eko care khaggavisāṇakappo</t>
  </si>
  <si>
    <t>Clearly we praise the blessing of a friend,
it’s good to be with friends your equal or better.
but failing to find them, eating blamelessly,
live alone like a rhino’s horn.</t>
  </si>
  <si>
    <t>Surely, we praise the excellence of companionship:
one should resort to companions one’s equal or better.
Not obtaining these, as one who eats blamelessly
one should live alone like a rhinoceros horn.</t>
  </si>
  <si>
    <t>We praise companionship
—yes!
Those on a par, or better,
should be chosen as friends.
If they’re not to be found,
living faultlessly,
wander alone
like a rhinoceros.</t>
  </si>
  <si>
    <t>Surely we praise accomplished friends—
choose friends who’re equal, or the best;
not finding these, live blamelessly,
fare singly as the rhino’s horn.</t>
  </si>
  <si>
    <t>Disvā suvaṇṇassa pabhassarāni,
Kammāraputtena suniṭṭhitāni;
Saṅghaṭṭamānāni duve bhujasmiṁ, Variant: Saṅghaṭṭamānāni → saṅghaṭṭayantāni (…)
Eko care khaggavisāṇakappo</t>
  </si>
  <si>
    <t>Though made of shining gold, well-finished by a smith,
when two bracelets share the same arm
they clash up against each other. Seeing this,
live alone like a rhino’s horn.</t>
  </si>
  <si>
    <t>Having seen radiant [bracelets] of gold,
skillfully fashioned by a goldsmith,
clashing together in pairs on the arm,
one should live alone like a rhinoceros horn.</t>
  </si>
  <si>
    <t>Seeing radiant bracelets of gold,
well-made by a smith,
clinking, clashing,
two on an arm,
wander alone
like a rhinoceros,</t>
  </si>
  <si>
    <t>See golden bangles on an arm,
well-burnished by the goldsmith’s art,
clash together, the two of them,
fare singly as the rhino’s horn</t>
  </si>
  <si>
    <t>“Evaṁ dutīyena sahā mamassa, Variant: dutīyena → dutiyena (sabbattha)
Vācābhilāpo abhisajjanā vā;
Etaṁ bhayaṁ āyatiṁ pekkhamāno,
Eko care khaggavisāṇakappo</t>
  </si>
  <si>
    <t>Thinking, “So too, if I had a partner,
there’d be flattery or curses.” 
Seeing this peril in the future,
live alone like a rhino’s horn.</t>
  </si>
  <si>
    <t>Thus if I had a partner, I would incur
[fond] words of address or verbal friction.
Looking out for this peril in the future,
one should live alone like a rhinoceros horn.</t>
  </si>
  <si>
    <t>[Thinking:]
“In the same way,
if I were to live with another,
there would be conversation or attachment.”
Seeing this future danger,
wander alone
like a rhinoceros.</t>
  </si>
  <si>
    <t>When there’s for me “a second one”
with intimate talk and curses both,
seeing this fear in future time,
fare singly as the rhino’s horn</t>
  </si>
  <si>
    <t>Kāmā hi citrā madhurā manoramā,
Virūparūpena mathenti cittaṁ;
Ādīnavaṁ kāmaguṇesu disvā,
Eko care khaggavisāṇakappo</t>
  </si>
  <si>
    <t>Sensual pleasures are diverse, sweet, delightful,
appearing in disguise they disturb the mind.
Seeing danger in the many kinds of sensual stimulation,
live alone like a rhino’s horn.</t>
  </si>
  <si>
    <t>Sensual pleasures are colorful, sweet, delightful,
but in their diversity they agitate the mind.
Having seen danger in the strands of sensual pleasure,
one should live alone like a rhinoceros horn.</t>
  </si>
  <si>
    <t>Because sensual pleasures,
elegant, honeyed, &amp;charming,
bewitch the mind with their manifold forms—
seeing this drawback in sensual strings5—
wander alone
like a rhinoceros.</t>
  </si>
  <si>
    <t>Sense-things so sweet, so varied,
in diverse forms disturb the mind;
seeing the bane of sense desires
fare singly as the rhino’s horn</t>
  </si>
  <si>
    <t>“Ītī ca gaṇḍo ca upaddavo ca,
Rogo ca sallañca bhayañca metaṁ;
Etaṁ bhayaṁ kāmaguṇesu disvā,
Eko care khaggavisāṇakappo</t>
  </si>
  <si>
    <t>This is a calamity, a boil, a disaster,
an illness, a dart, and a danger for me.
Seeing this peril in sensuality,
live alone like a rhino’s horn.</t>
  </si>
  <si>
    <t>“This is adversity, a boil, disaster,
an illness, a dart, and peril for me”:
having seen this peril in the strands of sensual pleasure,
one should live alone like a rhinoceros horn.</t>
  </si>
  <si>
    <t>“Calamity, tumor, misfortune,
disease, an arrow, a danger for me.”
Seeing this danger in sensual strings,
wander alone
like a rhinoceros.</t>
  </si>
  <si>
    <t>They are a plague, a blain, distress,
disease, a dart and danger too:
seeing this fear in sense-desires
fare singly as the rhino’s horn</t>
  </si>
  <si>
    <t>Sītañca uṇhañca khudaṁ pipāsaṁ,
Vātātape ḍaṁsasarīsape ca; Variant: ḍaṁsasarīsape → ḍaṁsasiriṁsape (bj, sya-all, km, pts-vp-pli1)
Sabbānipetāni abhisambhavitvā, Variant: abhisambhavitvā → abhibbhavitvā (tha-ap2:27 [Paccekabuddhaapadāna])
Eko care khaggavisāṇakappo</t>
  </si>
  <si>
    <t>Heat and cold, hunger and thirst,
wind and sun, flies and snakes:
having put up with all these things,
live alone like a rhino’s horn.</t>
  </si>
  <si>
    <t>Cold and heat, hunger, thirst,
wind, the hot sun, gadflies, and serpents:
having patiently endured all these,
one should live alone like a rhinoceros horn.</t>
  </si>
  <si>
    <t>Cold &amp;heat, hunger &amp;thirst,
wind &amp;sun, horseflies &amp;snakes:
Enduring all these, without exception,
wander alone
like a rhinoceros.</t>
  </si>
  <si>
    <t>The heat and cold, and hunger, thirst,
wind, sun, mosquitoes’ bites and snakes’;
enduring one and all of these,
fare singly as the rhino’s horn</t>
  </si>
  <si>
    <t>Nāgova yūthāni vivajjayitvā,
Sañjātakhandho padumī uḷāro;
Yathābhirantaṁ viharaṁ araññe, Variant: viharaṁ → vihare (bj, pts-vp-pli1)
Eko care khaggavisāṇakappo”</t>
  </si>
  <si>
    <t>As a full-grown elephant, lotus-eating, magnificent,
forsaking the herd, 
stays where it wants in the forest,
live alone like a rhino’s horn.</t>
  </si>
  <si>
    <t>As an elephant that has abandoned the herd —
with massive back, lotus-like, eminent —
may live in the forest as he pleases,
one should live alone like a rhinoceros horn.</t>
  </si>
  <si>
    <t>As a great white elephant,
with massive shoulders,
renouncing his herd,
lives in the wilds wherever he wants,
wander alone
like a rhinoceros.</t>
  </si>
  <si>
    <t>As elephant bull of noble mien,
full-grown, the flock forsakes and lives
in forests as it pleases him,
fare singly as the rhino’s horn</t>
  </si>
  <si>
    <t>Aṭṭhānataṁ saṅgaṇikāratassa,
Yaṁ phassaye sāmayikaṁ vimuttiṁ; Variant: phassaye → phussaye (sya-all)
Ādiccabandhussa vaco nisamma,
Eko care khaggavisāṇakappo”.</t>
  </si>
  <si>
    <t>It’s impossible for one who delights in company
to experience even temporary freedom.
Heeding the speech of the Kinsman of the Sun,
live alone like a rhino’s horn.</t>
  </si>
  <si>
    <t>It is impossible that one who delights in company
might attain even temporary liberation.
Having attended to the word of the Kinsman of the Sun,
one should live alone like a rhinoceros horn.</t>
  </si>
  <si>
    <t>“There’s no way
that one delighting in company
can touch even momentary release.”6
Heeding the words
of the Kinsman of the Sun,7
wander alone
like a rhinoceros.</t>
  </si>
  <si>
    <t>“Who loves to live in company
e’en timely freedom cannot find”;
so Kinsman of the Sun declared—
fare singly as the rhino’s horn</t>
  </si>
  <si>
    <t>This is apparently the same thing as the occasional release/liberation mentioned in MN 29.</t>
  </si>
  <si>
    <t>Diṭṭhīvisūkāni upātivatto,
Patto niyāmaṁ paṭiladdhamaggo;
Uppannañāṇomhi anaññaneyyo,
Eko care khaggavisāṇakappo”.</t>
  </si>
  <si>
    <t>Thinking, “I am one who has left warped views behind,
has reached the sure way, has gained the path,
has given rise to knowledge, and needs no-one to guide me”,
live alone like a rhino’s horn.</t>
  </si>
  <si>
    <t>“I have transcended the contortions of views,
reached the fixed course, obtained the path.
I have aroused knowledge, I’m not to be led by others”:
one should live alone like a rhinoceros horn.</t>
  </si>
  <si>
    <t>Transcending the contortion of views,8
the sure way attained,
the path gained,
[realizing:]
“Unled by others,
I have knowledge arisen,”
wander alone
like a rhinoceros.</t>
  </si>
  <si>
    <t>View-contortions gone beyond,
right method won, the path attained,
“I Know! No other is my guide!”
fare singly as the rhino’s horn.</t>
  </si>
  <si>
    <t>Nillolupo nikkuho nippipāso,
Nimmakkho niddhantakasāvamoho;
Nirāsayo sabbaloke bhavitvā, Variant: Nirāsayo → nirāsāso (mr)
Eko care khaggavisāṇakappo”</t>
  </si>
  <si>
    <t>No greed, no guile, no thirst, no slur,
dross and delusion is smelted off; 
free of hoping for anything in the world,
live alone like a rhino’s horn.</t>
  </si>
  <si>
    <t>Without greed, without scheming,
without thirst, not denigrating,
with stains and delusion blown away,
without wishes for anything in all the world,
one should live alone like a rhinoceros horn.</t>
  </si>
  <si>
    <t>With no greed, no deceit,
no thirst, no hypocrisy—
delusion &amp;blemishes
blown away—
with no inclinations for all the world,
every world,
wander alone
like a rhinoceros.</t>
  </si>
  <si>
    <t>No greed, no guile, no thirst, no slur,
and blown away by delusion’s fault;
wantless in all the world’s become,
fare singly as the rhino’s horn</t>
  </si>
  <si>
    <t>smelting of gold, AN 3.101</t>
  </si>
  <si>
    <t>Pāpaṁ sahāyaṁ parivajjayetha,
Anatthadassiṁ visame niviṭṭhaṁ;
Sayaṁ na seve pasutaṁ pamattaṁ,
Eko care khaggavisāṇakappo</t>
  </si>
  <si>
    <t>Avoid a wicked companion,
blind to the good, habitually immoral.
One ought not befriend the heedless and hankering, but
live alone like a rhino’s horn.</t>
  </si>
  <si>
    <t>One should avoid an evil companion,
who shows what is harmful, one settled in unrighteousness.
One should not freely associate
with one who is intent and heedless;
one should live alone like a rhinoceros horn.</t>
  </si>
  <si>
    <t>Avoid the evil companion
disregarding the goal,
intent on the discordant9 way.
Don’t associate yourself
with someone heedless &amp;hankering.
Wander alone
like a rhinoceros.</t>
  </si>
  <si>
    <t>Shun the evil friend who sees
no goal, convinced in crooked ways,
serve not at will the wanton one,
fare singly as the rhino’s horn</t>
  </si>
  <si>
    <t>Bahussutaṁ dhammadharaṁ bhajetha,
Mittaṁ uḷāraṁ paṭibhānavantaṁ;
Aññāya atthāni vineyya kaṅkhaṁ,
Eko care khaggavisāṇakappo”</t>
  </si>
  <si>
    <t>Spend time with a learned expert who has memorized the teachings,
an eloquent and uplifting friend.
When you understand the meanings and have dispelled doubt,
live alone like a rhino’s horn.</t>
  </si>
  <si>
    <t>One should resort to the learned, a bearer of Dhamma,
an eminent friend gifted with ingenuity.
Having known the benefits and removed doubt,
one should live alone like a rhinoceros horn.</t>
  </si>
  <si>
    <t>Consort with one who is learned,
who maintains the Dhamma,
a great &amp;quick-witted friend.
Knowing the meanings,
subdue your perplexity,
[then] wander alone
like a rhinoceros.</t>
  </si>
  <si>
    <t>Follow that friend who’s deeply-learned,
Dharma-endowed and lucid, great,
knows meaning leading out of doubts,
fare singly as the rhino’s horn</t>
  </si>
  <si>
    <t>Khiḍḍaṁ ratiṁ kāmasukhañca loke,
Analaṅkaritvā anapekkhamāno;
Vibhūsanaṭṭhānā virato saccavādī, Variant: Vibhūsanaṭṭhānā → vibhūsaṭṭhānā (…)
Eko care khaggavisāṇakappo</t>
  </si>
  <si>
    <t>When you realize that worldly fun and games
and pleasure are unsatisfying, disregarding them,
as one unadorned, a speaker of truth,
live alone like a rhino’s horn</t>
  </si>
  <si>
    <t>Having found no satisfaction in the world
with play, delight, and sensual pleasures,
not taking any interest in them,
refraining from ornaments, a speaker of truth,
one should live alone like a rhinoceros horn.</t>
  </si>
  <si>
    <t>Free from longing, finding no pleasure
in the world’s sport, ardor, or sensual bliss,
abstaining from adornment,
speaking the truth,
wander alone
like a rhinoceros.</t>
  </si>
  <si>
    <t>In playful love and sensual joys
find no reward—no longer long;
embellish not but speak the truth,
fare singly as the rhino’s horn.</t>
  </si>
  <si>
    <t>Puttañca dāraṁ pitarañca mātaraṁ,
Dhanāni dhaññāni ca bandhavāni; Variant: bandhavāni → bandhavāni ca (pts-vp-pli1)
Hitvāna kāmāni yathodhikāni,
Eko care khaggavisāṇakappo</t>
  </si>
  <si>
    <t>Children, partner, father, mother,
wealth and grain and relatives:
having given up sensual pleasures to this extent,
live alone like a rhino’s horn.</t>
  </si>
  <si>
    <t>Having abandoned children and wife,
father and mother, wealth, grain, and relatives,
sensual pleasures according to the limit,
one should live alone like a rhinoceros horn.</t>
  </si>
  <si>
    <t>Abandoning offspring, spouse,
father, mother,
riches, grain, relatives,
&amp;sensual pleasures
altogether,
wander alone
like a rhinoceros.</t>
  </si>
  <si>
    <t>Partner, children, parents too,
kin and wealth—things bought with it,
leaving all sense-desires behind,
fare singly as the rhino’s horn</t>
  </si>
  <si>
    <t>Saṅgo eso parittamettha sokhyaṁ,
Appassādo dukkhamettha bhiyyo;
Gaḷo eso iti ñatvā matīmā, Variant: matīmā → mutīmā (bj, pts-vp-pli1, csp1ed); matimā (sya-all); matimā (…)
Eko care khaggavisāṇakappo</t>
  </si>
  <si>
    <t>“This is a snare. Here there’s hardly any happiness,
little gratification, and it’s full of drawbacks.
It’s a hook.” Knowing this, a thoughtful person would
live alone like a rhino’s horn.</t>
  </si>
  <si>
    <t>“This is a tie, the happiness here is slight,
giving little gratification; the suffering here is more,
this is a hook”: having known thus, a thoughtful person
should live alone like a rhinoceros horn.</t>
  </si>
  <si>
    <t>“This is a bondage.
There’s little happiness here,
next to no enjoyment,
all the more suffering &amp;pain.10
This is a boil”11:
Knowing this, circumspect,
wander alone
like a rhinoceros.</t>
  </si>
  <si>
    <t>“They are but bonds and brief their joys,
and few their sweets and more their ills.
Hooks in the throat!” This knowing well,
fare singly as the rhino’s horn.</t>
  </si>
  <si>
    <t>See MN 54. AN 9.15</t>
  </si>
  <si>
    <t>Sandālayitvāna saṁyojanāni, Variant: Sandālayitvāna → sandāḷayitvāna (bj); sandālayitvā (pts-vp-pli1); padālayitvāna (mr)
Jālaṁva bhetvā salilambucārī;
Aggīva daḍḍhaṁ anivattamāno,
Eko care khaggavisāṇakappo”.</t>
  </si>
  <si>
    <t>Having burst apart the fetters,
like a fish that tears the net and swims free,
or a fire not returning to ground it has burned,
live alone like a rhino’s horn.</t>
  </si>
  <si>
    <t>Having sundered the fetters,
like a fish in the water that has broken a net,
like a fire not returning to what has been burnt,
one should live alone like a rhinoceros horn.</t>
  </si>
  <si>
    <t>Shattering fetters,
like a fish in the water tearing a net,
like a fire not coming back to what’s burnt,
wander alone
like a rhinoceros.</t>
  </si>
  <si>
    <t>Do snap the fetters, as a net
by river denizen is broke.
As fire to waste comes back no more,
fare singly as the rhino’s horn</t>
  </si>
  <si>
    <t>Okkhittacakkhu na ca pādalolo,
Guttindriyo rakkhitamānasāno;
Anavassuto apariḍayhamāno,
Eko care khaggavisāṇakappo”.</t>
  </si>
  <si>
    <t>Eyes downcast, not footloose,
senses guarded, mind protected,
uncorrupted, not burning with desire,
live alone like a rhino’s horn</t>
  </si>
  <si>
    <t>With downcast gaze, not footloose,
with guarded faculties, with protected mind,
unpolluted, not feverish with passion,
one should live alone like a rhinoceros horn.</t>
  </si>
  <si>
    <t>Eyes downcast, not footloose,
senses guarded, with protected mind,
not soggy, not burning,12
wander alone
like a rhinoceros.</t>
  </si>
  <si>
    <t>With downcast eyes, not loitering,
with guarded sense, warded thoughts,
with mind that festers not nor burns,
fare singly as the rhino’s horn.</t>
  </si>
  <si>
    <t>SN 35.202, SN 35.28, ItI 93, AN 3:110.</t>
  </si>
  <si>
    <t>Ohārayitvā gihibyañjanāni,
Sañchannapatto yathā pārichatto; Variant: Sañchannapatto → sañchinnapatto (sya-all); saṁchinnapatto (pts-vp-pli1); pacchinnapatto (mr) | pārichatto → pārichattako (…)
Kāsāyavattho abhinikkhamitvā,
Eko care khaggavisāṇakappo</t>
  </si>
  <si>
    <t>Having shed the marks of the home life,
like the fallen leaves of the Shady Orchid Tree,
and gone forth in the ocher robe,
live alone like a rhino’s horn</t>
  </si>
  <si>
    <t>Having cast off the marks of a layman
like a pāricchattaka tree that has shed its leaves,72 [11]
clothed in ochre robes, having renounced,
one should live alone like a rhinoceros horn.</t>
  </si>
  <si>
    <t>Taking off the householder’s marks,13
like a coral tree
that has shed its leaves,
going forth in the ochre robe,
wander alone
like a rhinoceros.</t>
  </si>
  <si>
    <t>Discard householder’s finery,
as shed their leaves the Coral Trees;
go forth in kāsāya robes,
fare singly as the rhino’s horn</t>
  </si>
  <si>
    <t>Rasesu gedhaṁ akaraṁ alolo,
Anaññaposī sapadānacārī;
Kule kule appaṭibaddhacitto, Variant: appaṭibaddhacitto → appaṭibandhacitto (mr)
Eko care khaggavisāṇakappo</t>
  </si>
  <si>
    <t>Not wanton, nor rousing greed for tastes,
providing for no other, wandering indiscriminately for alms,
not attached to this family or that,
live alone like a rhino’s horn.</t>
  </si>
  <si>
    <t>Not arousing greed for tastes, not hankering for them;
not nourishing others, walking for alms without skipping houses;
with a mind unbound to this or that family,
one should live alone like a rhinoceros horn.</t>
  </si>
  <si>
    <t>Showing no greed for flavors, not wanton,
going from house to house for alms
with mind unenmeshed in this family or that,
wander alone
like a rhinoceros.</t>
  </si>
  <si>
    <t>Crave not for tastes but free of greed
for alms food walk, omitting none,
and unattached ’mong families,
fare singly as the rhino’s horn</t>
  </si>
  <si>
    <t>Pahāya pañcāvaraṇāni cetaso,
Upakkilese byapanujja sabbe;
Anissito chetva sinehadosaṁ, Variant: chetva → chetvā (bj, sya-all, pts-vp-pli1, mr) | sinehadosaṁ → snehadosaṁ (bj, mr)
Eko care khaggavisāṇakappo</t>
  </si>
  <si>
    <t>When you’ve given up five mental obstacles,
and expelled all corruptions,
and cut off affection and hate, being independent,
live alone like a rhino’s horn.</t>
  </si>
  <si>
    <t>Having abandoned the five obstructions of mind,
having dispelled all mental defilements,
independent, having cut off affection and hatred,
one should live alone like a rhinoceros horn.</t>
  </si>
  <si>
    <t>Abandoning barriers to awareness,
expelling all defilements—all—
non-dependent, cutting aversion,
affection,
wander alone
like a rhinoceros.</t>
  </si>
  <si>
    <t>Abandoned mind’s five hindrances,
set aside defilements all,
affection-blemish having cut,
fare singly as the rhino’s horn</t>
  </si>
  <si>
    <t>Vipiṭṭhikatvāna sukhaṁ dukhañca,
Pubbeva ca somanassadomanassaṁ;
Laddhānupekkhaṁ samathaṁ visuddhaṁ,
Eko care khaggavisāṇakappo”.</t>
  </si>
  <si>
    <t>When you’ve put pleasure and pain behind you,
and former happiness and sadness,
and gained equanimity serene and pure,
live alone like a rhino’s horn.</t>
  </si>
  <si>
    <t>Having left behind pleasure and pain
and previously [discarded] joy and dejection,
having gained purified equanimity and serenity,
one should live alone like a rhinoceros horn.</t>
  </si>
  <si>
    <t>Turning your back on pleasure &amp;pain,
as earlier with sorrow &amp;joy,
attaining pure
equanimity,
tranquility,14
wander alone
like a rhinoceros.</t>
  </si>
  <si>
    <t>Let go of pain and happiness,
with previous joys and sorrows too,
gained poise and calm and purity,
fare singly as the rhino’s horn</t>
  </si>
  <si>
    <t>Āraddhaviriyo paramatthapattiyā,
Alīnacitto akusītavutti;
Daḷhanikkamo thāmabalūpapanno,
Eko care khaggavisāṇakappo”.</t>
  </si>
  <si>
    <t>With energy roused to reach the ultimate goal,
not sluggish in mind or lazy,
vigorous, strong and powerful,
live alone like a rhino’s horn.</t>
  </si>
  <si>
    <t>With energy aroused to attain the supreme goal,
with unsluggish mind and robust practice,
firmly persistent, equipped with strength and power,
one should live alone like a rhinoceros horn.</t>
  </si>
  <si>
    <t>With persistence aroused
for the highest goal’s attainment,
with mind unsmeared, not lazy in action,
firm in effort, with steadfastness &amp;strength arisen,
wander alone
like a rhinoceros.</t>
  </si>
  <si>
    <t>Resolved to win the Ultimate,
not slack in mind, nor slothful ways,
but steady, strong in body and mind,
fare singly as the rhino’s horn</t>
  </si>
  <si>
    <t>Paṭisallānaṁ jhānamariñcamāno,
Dhammesu niccaṁ anudhammacārī;
Ādīnavaṁ sammasitā bhavesu,
Eko care khaggavisāṇakappo</t>
  </si>
  <si>
    <t>Not neglecting retreat and absorption,
always living in line with the teachings,
comprehending the danger in rebirths,
live alone like a rhino’s horn.</t>
  </si>
  <si>
    <t>Not neglecting seclusion and jhāna,
always acting in accordance with the teachings,
having explored the danger in states of existence,
one should live alone like a rhinoceros horn.</t>
  </si>
  <si>
    <t>Not neglecting seclusion, jhāna,
constantly living the Dhamma
in line with the Dhamma,
comprehending the danger
in states of becoming,
wander alone
like a rhinoceros.</t>
  </si>
  <si>
    <t>Seclusion, jhāna—do not cease
but what’s in line with Dharma do,
with mastered existential fears,
fare singly as the rhino’s horn</t>
  </si>
  <si>
    <t>Taṇhakkhayaṁ patthayamappamatto,
Aneḷamūgo sutavā satīmā; Variant: Aneḷamūgo → anelamūgo (bj, sya-all, pts-vp-pli1, mr)
Saṅkhātadhammo niyato padhānavā,
Eko care khaggavisāṇakappo”.</t>
  </si>
  <si>
    <t>One whose aim is the ending of craving—
diligent, clever, learned, mindful, resolute—
who has assessed the teaching and is bound for awakening, should
live alone like a rhino’s horn.</t>
  </si>
  <si>
    <t>Yearning for craving’s destruction, heedful,
intelligent, learned, mindful,
having comprehended the Dhamma,
fixed in destiny, vigorous in striving,
one should live alone like a rhinoceros horn.</t>
  </si>
  <si>
    <t>Intent on the ending of craving &amp;heedful,
neither drooling nor dumb,
but learned, mindful,
—having reckoned the Dhamma—
certain &amp;striving,
wander alone
like a rhinoceros.</t>
  </si>
  <si>
    <t>Alert, aspiring craving’s end,
clear-voiced and learned, mindful too,
striven, true Dharma having known,
fare singly as the rhino’s horn</t>
  </si>
  <si>
    <t>Sīhova saddesu asantasanto,
Vātova jālamhi asajjamāno;
Padumaṁva toyena alippamāno, Variant: alippamāno → alimpamāno (si, sya-all, mr)
Eko care khaggavisāṇakappo</t>
  </si>
  <si>
    <t>Like a lion not startled by sounds,
like wind not caught in a net,
like water not sticking to a lotus,
live alone like a rhino’s horn.</t>
  </si>
  <si>
    <t>Like a lion unalarmed among sounds,
like the wind not caught in a net,
untainted like a lotus by water,
one should live alone like a rhinoceros horn.</t>
  </si>
  <si>
    <t>Unstartled,     like a lion at sounds.
Unsnared,     like the wind in a net.
Unsmeared,     like a lotus in water15:
Wander alone
like a rhinoceros.</t>
  </si>
  <si>
    <t>As lion is unafraid of sounds,
like wind not caught within a net,
as lotus not by water soiled,
fare singly as the rhino’s horn</t>
  </si>
  <si>
    <t>Sīho yathā dāṭhabalī pasayha,
Rājā migānaṁ abhibhuyya cārī;
Sevetha pantāni senāsanāni,
Eko care khaggavisāṇakappo</t>
  </si>
  <si>
    <t>Like the fierce-fanged lion, king of beasts,
who wanders as victor and master,
you should frequent remote lodgings, and
live alone like a rhino’s horn.</t>
  </si>
  <si>
    <t>Like the lion, king of beasts,
who has fangs as its strength,
who lives by attacking and overpowering,
one should resort to remote lodgings;
one should live alone like a rhinoceros horn.</t>
  </si>
  <si>
    <t>Like a lion—forceful, strong in fang,
living as a conqueror, the king of beasts—
resort to a solitary dwelling.
Wander alone
like a rhinoceros.</t>
  </si>
  <si>
    <t>As lion strong-toothed, the king of beasts,
subdues them all, so overcome
by use of practice-place remote,
fare singly as the rhino’s horn.</t>
  </si>
  <si>
    <t>Mettaṁ upekkhaṁ karuṇaṁ vimuttiṁ,
Āsevamāno muditañca kāle;
Sabbena lokena avirujjhamāno,
Eko care khaggavisāṇakappo</t>
  </si>
  <si>
    <t>In time, cultivate freedom through
love, compassion, rejoicing, and equanimity.
Not upset by anything in the world,
live alone like a rhino’s horn</t>
  </si>
  <si>
    <t>At the right time pursuing liberation by loving-kindness,
equanimity, compassion, and altruistic joy,73
not antagonized by the whole world,
one should live alone like a rhinoceros horn.</t>
  </si>
  <si>
    <t>At the right time consorting
with the release through goodwill,
compassion,
empathetic joy,
equanimity,
unobstructed by all the world,
any world,
wander alone
like a rhinoceros.</t>
  </si>
  <si>
    <t>Frequent the mettā-mind, and ruth
at times, poised mind and joyful too—
unhindered mind by all the world.
fare singly as the rhino’s horn</t>
  </si>
  <si>
    <t>Rāgañca dosañca pahāya mohaṁ,
Sandālayitvāna saṁyojanāni;
Asantasaṁ jīvitasaṅkhayamhi,
Eko care khaggavisāṇakappo</t>
  </si>
  <si>
    <t>Having given up greed, hate, and delusion,
having burst apart the fetters,
unafraid at the end of life,
live alone like a rhino’s horn.</t>
  </si>
  <si>
    <t>Having abandoned lust, hatred, and delusion,
having sundered the fetters [that keep one bound],
not terrified at the extinction of life,
one should live alone like a rhinoceros horn.</t>
  </si>
  <si>
    <t>Having let go of     passion,
aversion,
delusion;
having shattered     the fetters;
unfazed     at the ending of life,
wander alone
like a rhinoceros.</t>
  </si>
  <si>
    <t>Lust, hatred and delusion gone,
all the fetters having snapped,
then at life’s end, one trembles not,
fare singly as the rhino’s horn</t>
  </si>
  <si>
    <t>Bhajanti sevanti ca kāraṇatthā,
Nikkāraṇā dullabhā ajja mittā;
Attaṭṭhapaññā asucī manussā,
Eko care khaggavisāṇakappo</t>
  </si>
  <si>
    <t>They befriend you and serve you for their own sake;
these days it’s hard to find friends lacking ulterior motive.
Impure folk cleverly profit themselves—
live alone like a rhino’s horn.</t>
  </si>
  <si>
    <t>They resort to you and serve you for a motive;
friends without motive are today very rare.
Impure people are wise about their own good:
one should live alone like a rhinoceros horn.</t>
  </si>
  <si>
    <t>People follow &amp;associate
for a motive.
Friends without a motive these days
are rare.
They’re shrewd for their own ends, &amp;impure.
Wander alone
like a rhinoceros.</t>
  </si>
  <si>
    <t>They serve and following having aims—
folk cunning, selfish-aimed and foul,
friends seeking nought are scarce today,
fare singly as the rhino’s horn</t>
  </si>
  <si>
    <t>2.6 
Dhammacariya
Wrong Conduct in the Bhikkhu’s Life</t>
  </si>
  <si>
    <t>Dhammacariyaṁ brahmacariyaṁ,
Etadāhu vasuttamaṁ;
Pabbajitopi ce hoti,
Agārā anagāriyaṁ.</t>
  </si>
  <si>
    <t>A righteous life, a spiritual life,
they call this the supreme treasure.
But if someone goes forth
from the lay life to homelessness</t>
  </si>
  <si>
    <t>“Righteous conduct, the spiritual life:
they call this the supreme treasure.
But if one who has gone forth
from home to homelessness,</t>
  </si>
  <si>
    <t>Living the Dhamma life,
living the holy life:
This, they say, is the highest power.
But if, having gone forth
from home into homelessness,</t>
  </si>
  <si>
    <t>The Good Life living, with Dharma accordingly,
they say that this is wealth supreme.
But if one leaves the household life
gone forth from home to homelessness</t>
  </si>
  <si>
    <t>So ce mukharajātiko,
vihesābhirato mago;
Jīvitaṁ tassa pāpiyo,
rajaṁ vaḍḍheti attano.</t>
  </si>
  <si>
    <t>who is of scurrilous character,
a beast and a bully,
their life gets worse,
as poison grows inside them.</t>
  </si>
  <si>
    <t>“is of scurrilous character,
a brute who delights in harassing others,
one’s way of life is worse;
one stirs up dust for oneself.</t>
  </si>
  <si>
    <t>you are harsh-mouthed,
delighting in injury, a stupid beast,
your life is more evil.
You increase your own dust.</t>
  </si>
  <si>
    <t>and then be one of those foul-mouthed,
beast-like, delighted doing harm,
such a one’s of evil life
increasing “dust” within himself,</t>
  </si>
  <si>
    <t>Kalahābhirato bhikkhu,
Mohadhammena āvuto;
Akkhātampi na jānāti,
Dhammaṁ buddhena desitaṁ.</t>
  </si>
  <si>
    <t>A mendicant who loves to argue,
wrapped in delusion,
doesn’t even know what’s been explained
in the Dhamma taught by the Buddha.</t>
  </si>
  <si>
    <t>“A bhikkhu who delights in quarrels,
cloaked by the state of delusion,
does not know what has been declared,
the Dhamma taught by the Buddha.</t>
  </si>
  <si>
    <t>A monk delighting in quarrels,
shrouded under delusion,
doesn’t know the Dhamma
even when proclaimed by the Awakened One.</t>
  </si>
  <si>
    <t>a bhikkhu delighting in quarrelling
while in delusion wrapped,
knows not the Dharma even when
it’s by the Buddha pointed out;</t>
  </si>
  <si>
    <t>Vihesaṁ bhāvitattānaṁ,
avijjāya purakkhato;
Saṅkilesaṁ na jānāti,
maggaṁ nirayagāminaṁ.</t>
  </si>
  <si>
    <t>Harassing those who are evolved,
governed by ignorance,
they don’t know that corruption
is the path that leads to hell.</t>
  </si>
  <si>
    <t>“Harassing one who is self-developed,
led on by ignorance,
one does not know defilement
as the path leading to hell.</t>
  </si>
  <si>
    <t>Injuring those developed in mind,1
he, surrounded by ignorance,
doesn’t know defilement
to be          the path
that leads     to hell.</t>
  </si>
  <si>
    <t>led along by ignorance so
that one harms those of well-grown mind,
and does not know defilements’ path
that leads to hellish life.</t>
  </si>
  <si>
    <t>Vinipātaṁ samāpanno,
gabbhā gabbhaṁ tamā tamaṁ;
Sa ve tādisako bhikkhu,
pecca dukkhaṁ nigacchati.</t>
  </si>
  <si>
    <t>Entering the underworld,
passing from womb to womb, from darkness to darkness,
such a mendicant
falls into suffering after death.</t>
  </si>
  <si>
    <t>“Having entered the lower world,
going from womb to womb,
from darkness to darkness,
such a bhikkhu meets suffering after death.</t>
  </si>
  <si>
    <t>Arriving at deprivation,
from womb     to womb,
from darkness     to darkness,
a monk of this sort, after death,
comes to suffering.</t>
  </si>
  <si>
    <t>To Downfall going on and on,
from life to life, from dark to dark,
a bhikkhu such as this indeed
hereafter to dukkha descends.</t>
  </si>
  <si>
    <t>Gūthakūpo yathā assa,
sampuṇṇo gaṇavassiko;
Yo ca evarūpo assa,
dubbisodho hi sāṅgaṇo.</t>
  </si>
  <si>
    <t>One such as that is
like a sewer
brimful with years of filth
for it’s hard to clean one full of grime.</t>
  </si>
  <si>
    <t>“As there might be a cesspit,
full to the brim, many years old,
such a one would be similar,
for one who is blemished is hard to purify.</t>
  </si>
  <si>
    <t>Just like a cesspit, full, used for many years,
one of this sort, befouled,
would be hard to clean.</t>
  </si>
  <si>
    <t>One such with blemishes is like
a public shit-pit filled to the brim,
used for many years,
so very hard to clean.</t>
  </si>
  <si>
    <t>Yaṁ evarūpaṁ jānātha,
bhikkhavo gehanissitaṁ;
Pāpicchaṁ pāpasaṅkappaṁ,
pāpaācāragocaraṁ.</t>
  </si>
  <si>
    <t>Mendicants, knowing that someone is like this,
attached to the lay life,
of wicked desires and wicked intent,
of bad behavior and alms-resort,</t>
  </si>
  <si>
    <t>“When you know one like this,
bhikkhus, one attached to the home life,
of evil desires, evil intentions,
evil conduct and resort,</t>
  </si>
  <si>
    <t>Monks, whoever you know
to be like this,
depending on homes,
evil     in his desires,
evil     in his resolves,
evil     in behavior &amp;range,</t>
  </si>
  <si>
    <t>O bhikkhus, when you come to know
one such attached to household life
of evil desires and evil thoughts
and of evil ways of behaviour,</t>
  </si>
  <si>
    <t>Sabbe samaggā hutvāna,
abhinibbajjiyātha naṁ;
Kāraṇḍavaṁ niddhamatha,
kasambuṁ apakassatha.</t>
  </si>
  <si>
    <t>then having gathered in harmony,
you should expel them.
Throw out the trash!
Get rid of the rubbish!</t>
  </si>
  <si>
    <t>“having come together in harmony,
all of you should shun him.
Cast out the trash!
Expel the depraved fellow!</t>
  </si>
  <si>
    <t>all of you, united, shun him.
Sweep away the sweepings,
throw away the trash,</t>
  </si>
  <si>
    <t>all of you united then
should shun, avoid a person such,
blow away these sweepings and
throw away that trash,</t>
  </si>
  <si>
    <t>Tato palāpe vāhetha,
Assamaṇe samaṇamānine;
Niddhamitvāna pāpicche,
Pāpaācāragocare.</t>
  </si>
  <si>
    <t>And sweep away the scraps—
they’re not ascetics, they just think they are.
When you’ve thrown out those of wicked desires,
of bad behavior and alms-resort,</t>
  </si>
  <si>
    <t>“Then sweep the chaff away, non-ascetics
who imagine themselves ascetics!
Having blown away those of evil desires,
of evil conduct and resort,</t>
  </si>
  <si>
    <t>then remove the chaff:
non-contemplatives
who think they’re contemplatives.
Having swept away those of evil desires, evil
in behavior &amp;range,</t>
  </si>
  <si>
    <t>and suchlike cha ffwinnow away—
those sham monks, those conceited monks—
having blown them off, those who are
of evil wants and wrong resorts,</t>
  </si>
  <si>
    <t>Suddhā suddhehi saṁvāsaṁ,
Kappayavho patissatā;
Tato samaggā nipakā,
Dukkhassantaṁ karissathāti.</t>
  </si>
  <si>
    <t>dwell in communion, ever mindful,
the pure with the pure.
Then in harmony, alert,
you’ll make an end to suffering.”</t>
  </si>
  <si>
    <t>“let the pure, ever mindful,
make their dwelling with the pure.
Then, harmonious and judicious,
you will make an end of suffering.”</t>
  </si>
  <si>
    <t>then pure, affiliate mindfully
with the pure.
Then, united, astute,
you will put an end
to suffering &amp;stress.</t>
  </si>
  <si>
    <t>then living in purity with the pure
with mindfulness you will abide,
in concord live, intelligent—
you will arrive at dukkha’s end.</t>
  </si>
  <si>
    <t>2.9
KIṂSĪLA
What is Good Conduct?</t>
  </si>
  <si>
    <t>“Kiṁsīlo kiṁsamācāro,
kāni kammāni brūhayaṁ;
Naro sammā niviṭṭhassa,
uttamatthañca pāpuṇe”.</t>
  </si>
  <si>
    <t>“With what morality, what conduct,
fostering what deeds,
would a person lay the foundations right,
and reach the highest goal?”</t>
  </si>
  <si>
    <t>“Having what good behavior,
having what sort of conduct,
fostering what kind of actions,
can a person be properly settled
and attain the highest goal?”</t>
  </si>
  <si>
    <t>“With     what virtue,
what behavior,
nurturing     what actions,
would a person become rightly based
and attain the ultimate goal?”</t>
  </si>
  <si>
    <t>With what kinds of conduct and morality,
growing in what sorts of karmas,
will a person well-established be
for attainment of the highest goal?</t>
  </si>
  <si>
    <t>See also: MN 29–30; AN 5:151; AN 5:202; AN 6:86; AN 8:53; AN 10:58; Thag 5:10</t>
  </si>
  <si>
    <t>“Vuḍḍhāpacāyī anusūyako siyā,
Kālaññū cassa garūnaṁ dassanāya;
Dhammiṁ kathaṁ erayitaṁ khaṇaññū,
Suṇeyya sakkacca subhāsitāni.</t>
  </si>
  <si>
    <t>“Honoring elders without jealousy,
they’d know the time to visit their teachers.
Treasuring the chance for a Dhamma talk,
they’d listen carefully to the well-spoken words.</t>
  </si>
  <si>
    <t>“One should be respectful toward elders, without envy;
one should know the proper time for seeing one’s teachers.
When a Dhamma talk is occurring, one who knows the occasion
should listen carefully to well-spoken words.</t>
  </si>
  <si>
    <t>“One should be respectful
of one’s superiors1
&amp;not envious;
should have a sense of the time
for seeing teachers;2
should value the opportunity
when a talk on Dhamma’s in progress;
should listen intently
to well-spoken words;</t>
  </si>
  <si>
    <t>Let that one be an honourer of elders, never envious,
a knower of the right time for the teacher seeing,
and when Dharma’s being taught, a knower of that time
to listen precisely to those well-spoken words</t>
  </si>
  <si>
    <t>Kālena gacche garūnaṁ sakāsaṁ,
Thambhaṁ niraṅkatvā nivātavutti;
Atthaṁ dhammaṁ saṁyamaṁ brahmacariyaṁ,
Anussare ceva samācare ca.</t>
  </si>
  <si>
    <t>At the right time, they’d humbly enter
the teachers’ presence, leaving obstinacy behind.
They’d call to mind and put into practice
the meaning, the teaching, self-control, and the spiritual life.</t>
  </si>
  <si>
    <t>“One should go to teachers at the proper time,
having dropped one’s pride, with a humble manner. 
One should recollect and practice the meaning,
the Dhamma, self-control, and the spiritual life.</t>
  </si>
  <si>
    <t>should go at the proper time,
humbly, casting off arrogance,
to one’s teacher’s presence;
should both recollect &amp;follow
the Dhamma, its meaning,
restraint, &amp;the holy life.</t>
  </si>
  <si>
    <t>And at the right time go to the teacher’s presence
in an unassuming way, discarding obstinacy,
with restraint and recollection of the way to practise,
remembering the Dharma for the life of purity</t>
  </si>
  <si>
    <t>Dhammārāmo dhammarato,
Dhamme ṭhito dhammavinicchayaññū;
Nevācare dhammasandosavādaṁ,
Tacchehi nīyetha subhāsitehi.</t>
  </si>
  <si>
    <t>Delighting in the teaching, enjoying the teaching,
standing on the teaching, investigating the teaching,
they’d never say anything that degraded the teaching,
but would be guided by genuine words well-spoken.</t>
  </si>
  <si>
    <t>“Delighting in the Dhamma, delighted with the Dhamma,
firm in the Dhamma, knowing how to judge the Dhamma,
one should not engage in talk that corrupts the Dhamma
but should be guided by genuine well-spoken words.</t>
  </si>
  <si>
    <t>lDelighting in     Dhamma,
savoring     Dhamma,
established in     Dhamma,
with a sense of how
to investigate     Dhamma,
one should not speak in ways
destructive     of Dhamma,3
should guide oneself
with true, well-spoken words.</t>
  </si>
  <si>
    <t>Dwelling in the Dharma, delighted in Dharma,
in Dharma established, and skilled in deciding Dharma,
never uttering words to the Dharma’s detriment,
Let such a one be guided by well-spoken truths</t>
  </si>
  <si>
    <t>Hassaṁ jappaṁ paridevaṁ padosaṁ,
Māyākataṁ kuhanaṁ giddhi mānaṁ;
Sārambhaṁ kakkasaṁ kasāvañca mucchaṁ,
Hitvā care vītamado ṭhitatto.</t>
  </si>
  <si>
    <t>Giving up mirth, prayer, weeping, ill will,
deception, fraud, greed, conceit,
aggression, crudeness, stains, and indulgence,
they’d wander free of vanity, steadfast.</t>
  </si>
  <si>
    <t>“Having abandoned laughter, chatter, lamenting,
annoyance, hypocritical deeds, scheming, greed, conceit,
stubbornness, crudeness, blemishes, infatuation:
one should live free from vanity, inwardly firm.</t>
  </si>
  <si>
    <t>lShedding
laughter,chattering,
lamentation,     hatred,
deception,     deviousness,
greed,     pride,
confrontation,     roughness,
astringency,               infatuation,
one should go about free
of intoxication,
with steadfast mind.</t>
  </si>
  <si>
    <t>Disputatiousness, gossip, complaints and ill-will,
deception, hypocrisy, longing and pride,
aggressiveness, harshness, defilements-attached,
fare abandoning these, pride-free, of steady mind</t>
  </si>
  <si>
    <t>Viññātasārāni subhāsitāni,
Sutañca viññātasamādhisāraṁ;
Na tassa paññā ca sutañca vaḍḍhati,
Yo sāhaso hoti naro pamatto.</t>
  </si>
  <si>
    <t>Understanding is the essence of well-spoken words,
stillness is the essence of learning and understanding.
Wisdom and learning do not flourish
in a hasty and negligent person.</t>
  </si>
  <si>
    <t>“What is understood is the core of well-spoken words;
concentration is the core of what has been learned and understood.107
Wisdom and learning do not grow
for a person who is impetuous and heedless.</t>
  </si>
  <si>
    <t>Understanding’s the heartwood
of well-spoken words;
concentration, the heartwood
of learning &amp;understanding.
When a person is hasty &amp;heedless
his discernment &amp;learning
don’t grow.</t>
  </si>
  <si>
    <t>Understanding’s the essence of well-spoken words,
while that and the learnt is the essence of calmness;
but wisdom and learning in one do not grow—
that person who’s hasty and negligent both</t>
  </si>
  <si>
    <t>Dhamme ca ye ariyapavedite ratā,
Anuttarā te vacasā manasā kammunā ca;
Te santisoraccasamādhisaṇṭhitā,
Sutassa paññāya ca sāramajjhagū”ti.</t>
  </si>
  <si>
    <t>Those happy with the teaching proclaimed by the Noble One
are supreme in speech, mind, and deed.
Settled in peace, gentleness, and stillness,
they’ve realized the essence of learning and wisdom.”</t>
  </si>
  <si>
    <t>“Those who delight in the Dhamma taught by the noble ones
are unsurpassed in speech, mind, and action.
Being settled in peace, gentleness, and concentration,
they have reached the core of learning and wisdom.”</t>
  </si>
  <si>
    <t>While those who delight
in the Dhamma taught by the noble ones,
are unsurpassed
in word, action, &amp;mind.
They, established in
calm,
composure, &amp;
concentration,
have reached
what discernment &amp;learning
have as their heartwood.”</t>
  </si>
  <si>
    <t>Delighting in Dharma by Noble Ones taught,
their mind, speech and body all unsurpassed
in gentleness, peace, meditative-states firm,
attained to the essence of wisdom and learning.</t>
  </si>
  <si>
    <t>3.6
Sabhiya</t>
  </si>
  <si>
    <t>Pajjena katena attanā,
Parinibbānagato vitiṇṇakaṅkho;
Vibhavañca bhavañca vippahāya,
Vusitavā khīṇapunabbhavo sa bhikkhu.</t>
  </si>
  <si>
    <t>When by the path they have walked themselves,”
said the Buddha to Sabhiya,
“they reach quenching, with doubt overcome;
giving up desire to continue existence or to end it,
their journey complete, their rebirths ended: that is a mendicant.</t>
  </si>
  <si>
    <t>Sabbattha upekkhako satimā,
Na so hiṁsati kañci sabbaloke;
Tiṇṇo samaṇo anāvilo,
Ussadā yassa na santi sorato so.</t>
  </si>
  <si>
    <t>Equanimous towards everything, mindful,
they don’t harm anyone in the world.
An ascetic who has crossed over, unclouded,
not full of themselves, is sweet-natured.</t>
  </si>
  <si>
    <t>Yassindriyāni bhāvitāni,
Ajjhattaṁ bahiddhā ca sabbaloke;
Nibbijjha imaṁ parañca lokaṁ,
Kālaṁ kaṅkhati bhāvito sa danto.</t>
  </si>
  <si>
    <t>Their faculties have been developed
inside and out in the whole world.
Having pierced through this world and the next,
tamed, they bide their time.</t>
  </si>
  <si>
    <t>Kappāni viceyya kevalāni,
Saṁsāraṁ dubhayaṁ cutūpapātaṁ;
Vigatarajamanaṅgaṇaṁ visuddhaṁ,
Pattaṁ jātikhayaṁ tamāhu buddhan"ti.</t>
  </si>
  <si>
    <t>They have examined the aeons in their entirety,
and both sides of transmigration—passing away and rebirth.
Rid of dust, unblemished, purified:
the one they call ‘awakened’ has attained the end of rebirth.”</t>
  </si>
  <si>
    <t>Bāhitvā sabbapāpakāni,
Vimalo sādhusamāhito ṭhitatto;
Saṁsāramaticca kevalī so,
Asito tādi pavuccate sa brahmā.</t>
  </si>
  <si>
    <t>Having banished all bad things,”
said the Buddha to Sabhiya,
“immaculate, well-composed, steadfast,
consummate, they’ve left transmigration behind:
unattached, one such is called ‘brahmin’.</t>
  </si>
  <si>
    <t>Samitāvi pahāya puññapāpaṁ,
Virajo ñatvā imaṁ parañca lokaṁ;
Jātimaraṇaṁ upātivatto,
Samaṇo tādi pavuccate tathattā.</t>
  </si>
  <si>
    <t>A peaceful one who has given up good and evil,
stainless, understanding this world and the next,
gone beyond rebirth and death:
one such is rightly called ‘ascetic’.</t>
  </si>
  <si>
    <t>Ninhāya sabbapāpakāni,
Ajjhattaṁ bahiddhā ca sabbaloke;
Devamanussesu kappiyesu,
Kappaṁ neti tamāhu nhātakoti.</t>
  </si>
  <si>
    <t>Having washed off all bad things
inside and out in the whole world,
among gods and humans bound to creations,
the one they call ‘washed’ does not return to creation.</t>
  </si>
  <si>
    <t>Āguṁ na karoti kiñci loke,
Sabbasaṁyoge visajja bandhanāni;
Sabbattha na sajjatī vimutto,
Nāgo tādi pavuccate tathattā"ti.</t>
  </si>
  <si>
    <t>They do nothing monstrous at all in the world,
discarding all fetters and bonds,
everywhere not stuck, freed:
one such is rightly called ‘giant’.”</t>
  </si>
  <si>
    <t>Khettāni viceyya kevalāni,
Dibbaṁ mānusakañca brahmakhettaṁ;
Sabbakhettamūlabandhanā pamutto,
Khettajino tādi pavuccate tathattā.</t>
  </si>
  <si>
    <t>They are victorious over the fields of deeds in their entirety,”
said the Buddha to Sabhiya,
“the fields of gods, humans, and Brahmas;
released from the root bondage to all fields:
one such is rightly called ‘field-victor’.</t>
  </si>
  <si>
    <t>Kosāni viceyya kevalāni,
Dibbaṁ mānusakañca brahmakosaṁ;
Sabbakosamūlabandhanā pamutto,
Kusalo tādi pavuccate tathattā.</t>
  </si>
  <si>
    <t>They have examined the coffers in their entirety,
the coffers of gods, humans, and Brahmas;
released from the root bondage to all coffers:
one such is rightly called ‘skillful’.</t>
  </si>
  <si>
    <t>Dubhayāni viceyya paṇḍarāni,
Ajjhattaṁ bahiddhā ca suddhipañño;
Kaṇhaṁ sukkaṁ upātivatto,
Paṇḍito tādi pavuccate tathattā.</t>
  </si>
  <si>
    <t>They have examined whiteness
both inside and out; understanding purity,
they have left dark and bright behind:
one such is rightly called ‘a wise scholar’.”</t>
  </si>
  <si>
    <t>Asatañca satañca ñatvā dhammaṁ,
Ajjhattaṁ bahiddhā ca sabbaloke;
Devamanussehi pūjanīyo,
Saṅgaṁ jālamaticca so munī"ti.</t>
  </si>
  <si>
    <t>Understanding the nature of the bad and the good
inside and out in the whole world;
one worthy of honor by gods and humans,
who has escaped from the net and the snare: that is a sage.”</t>
  </si>
  <si>
    <t>Vedāni viceyya kevalāni,
Samaṇānaṁ yānidhatthi brāhmaṇānaṁ;
Sabbavedanāsu vītarāgo,
Sabbaṁ vedamaticca vedagū so.</t>
  </si>
  <si>
    <t>They have examined knowledges in their entirety,”
said the Buddha to Sabhiya,
“those that are current among ascetics and brahmins;
rid of greed for all feelings,
having left all knowledges behind: that is a knowledge master.</t>
  </si>
  <si>
    <t>Anuvicca papañcanāmarūpaṁ,
Ajjhattaṁ bahiddhā ca rogamūlaṁ;
Sabbarogamūlabandhanā pamutto,
Anuvidito tādi pavuccate tathattā.</t>
  </si>
  <si>
    <t>Having studied proliferation and name &amp; form
inside and out—the root of disease;
released from the root bondage to all disease:
one such is rightly called ‘studied’.</t>
  </si>
  <si>
    <t>Virato idha sabbapāpakehi,
Nirayadukkhaṁ aticca viriyavāso;
So vīriyavā padhānavā,
Dhīro tādi pavuccate tathattā.</t>
  </si>
  <si>
    <t>Refraining from all evil here,
heroic, he escapes from the suffering of hell;
he is heroic and energetic:
one such is rightly called ‘hero’.</t>
  </si>
  <si>
    <t>Yassassu lunāni bandhanāni,
Ajjhattaṁ bahiddhā ca saṅgamūlaṁ;
Sabbasaṅgamūlabandhanā pamutto,
Ājāniyo tādi pavuccate tathattā"ti.</t>
  </si>
  <si>
    <t>Whoever’s bonds are cut,
the root of clinging inside and out;
released from the root bondage to all clinging:
one such is rightly called ‘thoroughbred’.”</t>
  </si>
  <si>
    <t>Sutvā sabbadhammaṁ abhiññāya loke,
Sāvajjānavajjaṁ yadatthi kiñci;
Abhibhuṁ akathaṅkathiṁ vimuttaṁ,
Anighaṁ sabbadhimāhu sottiyoti.</t>
  </si>
  <si>
    <t>One who has learned every teaching,”
said the Buddha to Sabhiya,
“and has known for themselves what is blameworthy and blameless in the world;
a champion, decided, liberated,
untroubled everywhere: they call them ‘scholar’.</t>
  </si>
  <si>
    <t>Chetvā āsavāni ālayāni,
Vidvā so na upeti gabbhaseyyaṁ;
Saññaṁ tividhaṁ panujja paṅkaṁ,
Kappaṁ neti tamāhu ariyoti.</t>
  </si>
  <si>
    <t>Having cut off defilements and attachments,
being wise, they enter no womb.
They’ve expelled the bog of the three perceptions,
the one they call ‘noble’ does not return to creation.</t>
  </si>
  <si>
    <t>Yo idha caraṇesu pattipatto,
Kusalo sabbadā ājānāti dhammaṁ;
Sabbattha na sajjati vimuttacitto,
Paṭighā yassa na santi caraṇavā so.</t>
  </si>
  <si>
    <t>One here who is accomplished and skillful in all forms of good conduct;
always understanding the teaching,
everywhere not stuck, freed in mind,
who has no repulsion: they are ‘well-conducted’.</t>
  </si>
  <si>
    <t>Dukkhavepakkaṁ yadatthi kammaṁ,
Uddhamadho tiriyaṁ vāpi majjhe;
Paribbājayitvā pariññacārī,
Māyaṁ mānamathopi lobhakodhaṁ;
Pariyantamakāsi nāmarūpaṁ,
Taṁ paribbājakamāhu pattipattan"ti.</t>
  </si>
  <si>
    <t>They wander full of wisdom,
having banished any deed that results in suffering,
deceit and conceit, as well as greed and anger,
above, below, all round, between.
They have made a limit on name &amp; form;
the one they call a ‘wanderer’ has reached their destination.”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</si>
</sst>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20.0"/>
      <color rgb="FF002060"/>
      <name val="Verdana"/>
    </font>
    <font>
      <sz val="11.0"/>
      <color theme="1"/>
      <name val="Verdana"/>
    </font>
    <font>
      <sz val="11.0"/>
      <color rgb="FF002060"/>
      <name val="Verdana"/>
    </font>
    <font>
      <sz val="14.0"/>
      <color theme="0"/>
      <name val="Verdana"/>
    </font>
    <font>
      <sz val="14.0"/>
      <color rgb="FFFFFFFF"/>
      <name val="Verdana"/>
    </font>
    <font>
      <sz val="11.0"/>
      <color theme="0"/>
      <name val="Verdana"/>
    </font>
    <font>
      <i/>
      <sz val="11.0"/>
      <color rgb="FF202124"/>
      <name val="Roboto"/>
    </font>
    <font>
      <sz val="13.0"/>
      <color theme="1"/>
      <name val="Noto Sans"/>
    </font>
    <font>
      <sz val="16.0"/>
      <color rgb="FF1F4429"/>
      <name val="Verdana"/>
    </font>
    <font>
      <color rgb="FF0D5672"/>
      <name val="Verdana"/>
    </font>
    <font>
      <b/>
      <sz val="14.0"/>
      <color theme="0"/>
      <name val="Verdana"/>
    </font>
    <font>
      <b/>
      <sz val="14.0"/>
      <color rgb="FFFFFFFF"/>
      <name val="Verdana"/>
    </font>
    <font>
      <sz val="20.0"/>
      <color rgb="FF0D5672"/>
      <name val="Verdana"/>
    </font>
    <font>
      <sz val="10.0"/>
      <color rgb="FF0D5672"/>
      <name val="Verdana"/>
    </font>
    <font>
      <color theme="1"/>
      <name val="Arial"/>
      <scheme val="minor"/>
    </font>
  </fonts>
  <fills count="6">
    <fill>
      <patternFill patternType="none"/>
    </fill>
    <fill>
      <patternFill patternType="lightGray"/>
    </fill>
    <fill>
      <patternFill patternType="solid">
        <fgColor theme="9"/>
        <bgColor theme="9"/>
      </patternFill>
    </fill>
    <fill>
      <patternFill patternType="solid">
        <fgColor rgb="FF215D4B"/>
        <bgColor rgb="FF215D4B"/>
      </patternFill>
    </fill>
    <fill>
      <patternFill patternType="solid">
        <fgColor rgb="FF3D85C6"/>
        <bgColor rgb="FF3D85C6"/>
      </patternFill>
    </fill>
    <fill>
      <patternFill patternType="solid">
        <fgColor theme="0"/>
        <bgColor theme="0"/>
      </patternFill>
    </fill>
  </fills>
  <borders count="86">
    <border/>
    <border>
      <left style="thin">
        <color rgb="FFD4EBDA"/>
      </left>
      <right style="thin">
        <color rgb="FFD4EBDA"/>
      </right>
      <top style="thin">
        <color rgb="FFD4EBDA"/>
      </top>
      <bottom style="thin">
        <color rgb="FFD4EBDA"/>
      </bottom>
    </border>
    <border>
      <left style="medium">
        <color rgb="FF2E663E"/>
      </left>
      <right style="thin">
        <color rgb="FFD4EBDA"/>
      </right>
      <bottom style="thin">
        <color rgb="FFD4EBDA"/>
      </bottom>
    </border>
    <border>
      <right style="thin">
        <color rgb="FFD4EBDA"/>
      </right>
      <bottom style="thin">
        <color rgb="FFD4EBDA"/>
      </bottom>
    </border>
    <border>
      <left style="thin">
        <color rgb="FFD4EBDA"/>
      </left>
      <right style="thin">
        <color rgb="FFD4EBDA"/>
      </right>
      <bottom style="thin">
        <color rgb="FFD4EBDA"/>
      </bottom>
    </border>
    <border>
      <left style="thin">
        <color rgb="FFD4EBDA"/>
      </left>
      <right/>
      <top/>
      <bottom style="thin">
        <color rgb="FFD4EBDA"/>
      </bottom>
    </border>
    <border>
      <left style="thin">
        <color rgb="FFD4EBDA"/>
      </left>
      <bottom style="thin">
        <color rgb="FFD4EBDA"/>
      </bottom>
    </border>
    <border>
      <left style="thin">
        <color rgb="FFD4EBDA"/>
      </left>
      <right style="medium">
        <color rgb="FF2E663E"/>
      </right>
    </border>
    <border>
      <left style="medium">
        <color rgb="FF2E663E"/>
      </left>
      <right style="thin">
        <color rgb="FFD4EBDA"/>
      </right>
      <top style="thin">
        <color rgb="FFD4EBDA"/>
      </top>
      <bottom style="thin">
        <color rgb="FFD4EBDA"/>
      </bottom>
    </border>
    <border>
      <right style="thin">
        <color rgb="FFD4EBDA"/>
      </right>
      <top style="thin">
        <color rgb="FFD4EBDA"/>
      </top>
      <bottom style="thin">
        <color rgb="FFD4EBDA"/>
      </bottom>
    </border>
    <border>
      <left style="thin">
        <color rgb="FFD4EBDA"/>
      </left>
      <top style="thin">
        <color rgb="FFD4EBDA"/>
      </top>
      <bottom style="thin">
        <color rgb="FFD4EBDA"/>
      </bottom>
    </border>
    <border>
      <left style="thin">
        <color rgb="FFD4EBDA"/>
      </left>
      <right style="medium">
        <color rgb="FF2E663E"/>
      </right>
      <top style="thin">
        <color rgb="FFD4EBDA"/>
      </top>
    </border>
    <border>
      <left style="thin">
        <color rgb="FFD4EBDA"/>
      </left>
      <right/>
      <top style="thin">
        <color rgb="FFD4EBDA"/>
      </top>
      <bottom style="thin">
        <color rgb="FFD4EBDA"/>
      </bottom>
    </border>
    <border>
      <left style="medium">
        <color rgb="FF2E663E"/>
      </left>
      <right style="thin">
        <color rgb="FFD4EBDA"/>
      </right>
      <top style="thin">
        <color rgb="FFD4EBDA"/>
      </top>
      <bottom style="medium">
        <color rgb="FF2E663E"/>
      </bottom>
    </border>
    <border>
      <right style="thin">
        <color rgb="FFD4EBDA"/>
      </right>
      <top style="thin">
        <color rgb="FFD4EBDA"/>
      </top>
      <bottom style="medium">
        <color rgb="FF2E663E"/>
      </bottom>
    </border>
    <border>
      <left style="thin">
        <color rgb="FFD4EBDA"/>
      </left>
      <right style="thin">
        <color rgb="FFD4EBDA"/>
      </right>
      <top style="thin">
        <color rgb="FFD4EBDA"/>
      </top>
      <bottom style="medium">
        <color rgb="FF2E663E"/>
      </bottom>
    </border>
    <border>
      <left style="thin">
        <color rgb="FFD4EBDA"/>
      </left>
      <top style="thin">
        <color rgb="FFD4EBDA"/>
      </top>
      <bottom style="medium">
        <color rgb="FF2E663E"/>
      </bottom>
    </border>
    <border>
      <left style="thin">
        <color rgb="FFD4EBDA"/>
      </left>
      <right style="medium">
        <color rgb="FF2E663E"/>
      </right>
      <top style="thin">
        <color rgb="FFD4EBDA"/>
      </top>
      <bottom style="medium">
        <color rgb="FF2E663E"/>
      </bottom>
    </border>
    <border>
      <left style="thin">
        <color rgb="FFD4EBDA"/>
      </left>
      <right style="medium">
        <color rgb="FF2E663E"/>
      </right>
      <bottom style="thin">
        <color rgb="FFD4EBDA"/>
      </bottom>
    </border>
    <border>
      <left style="thin">
        <color rgb="FFD4EBDA"/>
      </left>
      <right style="medium">
        <color rgb="FF2E663E"/>
      </right>
      <top style="thin">
        <color rgb="FFD4EBDA"/>
      </top>
      <bottom style="thin">
        <color rgb="FFD4EBDA"/>
      </bottom>
    </border>
    <border>
      <left style="medium">
        <color rgb="FF2E663E"/>
      </left>
      <bottom style="thin">
        <color theme="8"/>
      </bottom>
    </border>
    <border>
      <left style="medium">
        <color rgb="FF2E663E"/>
      </left>
      <top style="thin">
        <color theme="8"/>
      </top>
      <bottom style="thin">
        <color theme="8"/>
      </bottom>
    </border>
    <border>
      <left style="medium">
        <color rgb="FF2E663E"/>
      </left>
      <top style="thin">
        <color theme="8"/>
      </top>
      <bottom style="medium">
        <color rgb="FF2E663E"/>
      </bottom>
    </border>
    <border>
      <left style="medium">
        <color rgb="FF2E663E"/>
      </left>
      <right style="thin">
        <color rgb="FFD4EBDA"/>
      </right>
      <bottom style="medium">
        <color rgb="FF2E663E"/>
      </bottom>
    </border>
    <border>
      <right style="thin">
        <color rgb="FFD4EBDA"/>
      </right>
      <bottom style="medium">
        <color rgb="FF2E663E"/>
      </bottom>
    </border>
    <border>
      <left style="thin">
        <color rgb="FFD4EBDA"/>
      </left>
      <bottom style="medium">
        <color rgb="FF2E663E"/>
      </bottom>
    </border>
    <border>
      <left style="thin">
        <color rgb="FFD4EBDA"/>
      </left>
      <right style="thin">
        <color rgb="FFD4EBDA"/>
      </right>
      <bottom style="medium">
        <color rgb="FF2E663E"/>
      </bottom>
    </border>
    <border>
      <left style="thin">
        <color rgb="FFD4EBDA"/>
      </left>
      <right style="thin">
        <color rgb="FFD4EBDA"/>
      </right>
      <top/>
      <bottom style="thin">
        <color rgb="FFD4EBDA"/>
      </bottom>
    </border>
    <border>
      <left style="medium">
        <color rgb="FF2E663E"/>
      </left>
      <right style="thin">
        <color rgb="FFD4EBDA"/>
      </right>
      <top/>
      <bottom style="thin">
        <color rgb="FFD4EBDA"/>
      </bottom>
    </border>
    <border>
      <left style="thin">
        <color rgb="FFD4EBDA"/>
      </left>
      <right style="thin">
        <color rgb="FFD4EBDA"/>
      </right>
    </border>
    <border>
      <left/>
      <right/>
      <top/>
      <bottom/>
    </border>
    <border>
      <left style="thin">
        <color rgb="FFD4EBDA"/>
      </left>
      <right style="thin">
        <color rgb="FFD4EBDA"/>
      </right>
      <top style="thin">
        <color rgb="FFD4EBDA"/>
      </top>
    </border>
    <border>
      <left style="medium">
        <color rgb="FF2E663E"/>
      </left>
      <right/>
      <top/>
      <bottom style="thin">
        <color rgb="FFD4EBDA"/>
      </bottom>
    </border>
    <border>
      <left/>
      <right style="thin">
        <color rgb="FFD4EBDA"/>
      </right>
      <top/>
      <bottom style="thin">
        <color rgb="FFD4EBDA"/>
      </bottom>
    </border>
    <border>
      <left style="medium">
        <color rgb="FF2E663E"/>
      </left>
      <right/>
      <top/>
      <bottom style="medium">
        <color rgb="FF2E663E"/>
      </bottom>
    </border>
    <border>
      <left/>
      <right/>
      <top/>
      <bottom style="medium">
        <color rgb="FF2E663E"/>
      </bottom>
    </border>
    <border>
      <left/>
      <right style="thin">
        <color rgb="FFD4EBDA"/>
      </right>
      <top/>
      <bottom style="medium">
        <color rgb="FF2E663E"/>
      </bottom>
    </border>
    <border>
      <left style="thin">
        <color rgb="FFD4EBDA"/>
      </left>
      <right style="thin">
        <color rgb="FFD4EBDA"/>
      </right>
      <top/>
      <bottom style="medium">
        <color rgb="FF2E663E"/>
      </bottom>
    </border>
    <border>
      <left style="thin">
        <color rgb="FFD4EBDA"/>
      </left>
      <right style="medium">
        <color rgb="FF2E663E"/>
      </right>
      <bottom style="medium">
        <color rgb="FF2E663E"/>
      </bottom>
    </border>
    <border>
      <left style="medium">
        <color rgb="FF2E663E"/>
      </left>
      <bottom style="thin">
        <color rgb="FFD4EBDA"/>
      </bottom>
    </border>
    <border>
      <left style="thin">
        <color theme="8"/>
      </left>
      <right style="thin">
        <color theme="8"/>
      </right>
      <bottom style="thin">
        <color theme="8"/>
      </bottom>
    </border>
    <border>
      <left style="thin">
        <color theme="8"/>
      </left>
      <right style="thin">
        <color theme="8"/>
      </right>
      <top/>
      <bottom style="thin">
        <color theme="8"/>
      </bottom>
    </border>
    <border>
      <left style="medium">
        <color rgb="FF2E663E"/>
      </left>
      <top style="thin">
        <color rgb="FFD4EBDA"/>
      </top>
      <bottom style="thin">
        <color rgb="FFD4EBDA"/>
      </bottom>
    </border>
    <border>
      <left style="thin">
        <color theme="8"/>
      </left>
      <right style="thin">
        <color theme="8"/>
      </right>
      <top style="thin">
        <color theme="8"/>
      </top>
      <bottom style="thin">
        <color theme="8"/>
      </bottom>
    </border>
    <border>
      <left style="medium">
        <color rgb="FF2E663E"/>
      </left>
      <top style="thin">
        <color rgb="FFD4EBDA"/>
      </top>
      <bottom style="medium">
        <color rgb="FF2E663E"/>
      </bottom>
    </border>
    <border>
      <left style="thin">
        <color theme="8"/>
      </left>
      <right style="thin">
        <color theme="8"/>
      </right>
      <top style="thin">
        <color theme="8"/>
      </top>
      <bottom style="medium">
        <color rgb="FF2E663E"/>
      </bottom>
    </border>
    <border>
      <left style="thick">
        <color rgb="FF000000"/>
      </left>
      <right style="thin">
        <color rgb="FFD4EBDA"/>
      </right>
      <top style="thick">
        <color rgb="FF000000"/>
      </top>
      <bottom style="thin">
        <color rgb="FFD4EBDA"/>
      </bottom>
    </border>
    <border>
      <left style="thin">
        <color rgb="FFD4EBDA"/>
      </left>
      <right style="thin">
        <color rgb="FFD4EBDA"/>
      </right>
      <top style="thick">
        <color rgb="FF000000"/>
      </top>
      <bottom style="thin">
        <color rgb="FFD4EBDA"/>
      </bottom>
    </border>
    <border>
      <left style="thin">
        <color rgb="FFD4EBDA"/>
      </left>
      <right style="thick">
        <color rgb="FF000000"/>
      </right>
      <top style="thick">
        <color rgb="FF000000"/>
      </top>
      <bottom style="thin">
        <color rgb="FFD4EBDA"/>
      </bottom>
    </border>
    <border>
      <left style="thick">
        <color rgb="FF000000"/>
      </left>
      <right style="thin">
        <color rgb="FFD4EBDA"/>
      </right>
      <top style="thin">
        <color rgb="FFD4EBDA"/>
      </top>
      <bottom style="thin">
        <color rgb="FFD4EBDA"/>
      </bottom>
    </border>
    <border>
      <left style="thin">
        <color rgb="FFD4EBDA"/>
      </left>
      <right style="thick">
        <color rgb="FF000000"/>
      </right>
      <top style="thin">
        <color rgb="FFD4EBDA"/>
      </top>
      <bottom style="thin">
        <color rgb="FFD4EBDA"/>
      </bottom>
    </border>
    <border>
      <left style="thick">
        <color rgb="FF000000"/>
      </left>
      <right style="thin">
        <color rgb="FFD4EBDA"/>
      </right>
      <top style="thin">
        <color rgb="FFD4EBDA"/>
      </top>
      <bottom style="thick">
        <color rgb="FF000000"/>
      </bottom>
    </border>
    <border>
      <left style="thin">
        <color rgb="FFD4EBDA"/>
      </left>
      <right style="thin">
        <color rgb="FFD4EBDA"/>
      </right>
      <top style="thin">
        <color rgb="FFD4EBDA"/>
      </top>
      <bottom style="thick">
        <color rgb="FF000000"/>
      </bottom>
    </border>
    <border>
      <left style="thin">
        <color rgb="FFD4EBDA"/>
      </left>
      <right style="thick">
        <color rgb="FF000000"/>
      </right>
      <top style="thin">
        <color rgb="FFD4EBDA"/>
      </top>
      <bottom style="thick">
        <color rgb="FF000000"/>
      </bottom>
    </border>
    <border>
      <left style="thick">
        <color rgb="FF000000"/>
      </left>
      <right style="thin">
        <color rgb="FFD4EBDA"/>
      </right>
      <top style="thick">
        <color rgb="FF000000"/>
      </top>
      <bottom style="thick">
        <color rgb="FF000000"/>
      </bottom>
    </border>
    <border>
      <left style="thin">
        <color rgb="FFD4EBDA"/>
      </left>
      <right style="thin">
        <color rgb="FFD4EBDA"/>
      </right>
      <top style="thick">
        <color rgb="FF000000"/>
      </top>
      <bottom style="thick">
        <color rgb="FF000000"/>
      </bottom>
    </border>
    <border>
      <left style="thin">
        <color rgb="FFD4EBDA"/>
      </left>
      <right style="thick">
        <color rgb="FF000000"/>
      </right>
      <top style="thick">
        <color rgb="FF000000"/>
      </top>
      <bottom style="thick">
        <color rgb="FF000000"/>
      </bottom>
    </border>
    <border>
      <left style="medium">
        <color rgb="FF2E663E"/>
      </left>
      <right style="thin">
        <color rgb="FFD4EBDA"/>
      </right>
      <top style="thin">
        <color rgb="FFD4EBDA"/>
      </top>
    </border>
    <border>
      <right/>
      <top/>
      <bottom/>
    </border>
    <border>
      <left/>
      <right style="thin">
        <color rgb="FFD4EBDA"/>
      </right>
      <top style="thick">
        <color rgb="FF000000"/>
      </top>
      <bottom/>
    </border>
    <border>
      <left style="thin">
        <color rgb="FFD4EBDA"/>
      </left>
      <right style="thin">
        <color rgb="FFD4EBDA"/>
      </right>
      <top style="thick">
        <color rgb="FF000000"/>
      </top>
      <bottom/>
    </border>
    <border>
      <left style="thin">
        <color rgb="FFD4EBDA"/>
      </left>
      <right/>
      <top style="thick">
        <color rgb="FF000000"/>
      </top>
      <bottom style="thin">
        <color rgb="FFD4EBDA"/>
      </bottom>
    </border>
    <border>
      <left style="thin">
        <color rgb="FFD4EBDA"/>
      </left>
      <right style="thick">
        <color rgb="FF000000"/>
      </right>
      <top style="thick">
        <color rgb="FF000000"/>
      </top>
      <bottom/>
    </border>
    <border>
      <left/>
      <right style="thin">
        <color rgb="FFD4EBDA"/>
      </right>
      <top/>
      <bottom/>
    </border>
    <border>
      <left style="thin">
        <color rgb="FFD4EBDA"/>
      </left>
      <right style="thin">
        <color rgb="FFD4EBDA"/>
      </right>
      <top/>
      <bottom/>
    </border>
    <border>
      <left style="thin">
        <color rgb="FFD4EBDA"/>
      </left>
      <right style="thick">
        <color rgb="FF000000"/>
      </right>
      <top/>
      <bottom/>
    </border>
    <border>
      <left style="thick">
        <color rgb="FF000000"/>
      </left>
      <right style="thin">
        <color rgb="FFD4EBDA"/>
      </right>
      <top/>
      <bottom style="medium">
        <color theme="8"/>
      </bottom>
    </border>
    <border>
      <left style="thin">
        <color rgb="FFD4EBDA"/>
      </left>
      <right style="thin">
        <color rgb="FFD4EBDA"/>
      </right>
      <top/>
      <bottom style="medium">
        <color theme="8"/>
      </bottom>
    </border>
    <border>
      <left style="thin">
        <color rgb="FFD4EBDA"/>
      </left>
      <right style="thick">
        <color rgb="FF000000"/>
      </right>
      <top/>
      <bottom style="medium">
        <color theme="8"/>
      </bottom>
    </border>
    <border>
      <right/>
      <top/>
      <bottom style="medium">
        <color theme="8"/>
      </bottom>
    </border>
    <border>
      <left/>
      <right/>
      <top/>
      <bottom style="medium">
        <color theme="8"/>
      </bottom>
    </border>
    <border>
      <left style="thick">
        <color rgb="FF000000"/>
      </left>
      <right style="thin">
        <color rgb="FFD4EBDA"/>
      </right>
      <top/>
      <bottom style="thin">
        <color rgb="FFD4EBDA"/>
      </bottom>
    </border>
    <border>
      <left style="thin">
        <color rgb="FFD4EBDA"/>
      </left>
      <right style="thick">
        <color rgb="FF000000"/>
      </right>
      <top/>
      <bottom style="thin">
        <color rgb="FFD4EBDA"/>
      </bottom>
    </border>
    <border>
      <left style="thin">
        <color rgb="FFD4EBDA"/>
      </left>
      <top style="thick">
        <color rgb="FF000000"/>
      </top>
      <bottom style="thin">
        <color rgb="FFD4EBDA"/>
      </bottom>
    </border>
    <border>
      <left style="thin">
        <color rgb="FFD4EBDA"/>
      </left>
      <right style="thin">
        <color rgb="FFD4EBDA"/>
      </right>
      <bottom style="thick">
        <color rgb="FF000000"/>
      </bottom>
    </border>
    <border>
      <left style="thin">
        <color rgb="FFD4EBDA"/>
      </left>
      <top style="thin">
        <color rgb="FFD4EBDA"/>
      </top>
      <bottom style="thick">
        <color rgb="FF000000"/>
      </bottom>
    </border>
    <border>
      <left style="thick">
        <color rgb="FF000000"/>
      </left>
      <right style="thin">
        <color rgb="FFD4EBDA"/>
      </right>
      <bottom style="thin">
        <color rgb="FFD4EBDA"/>
      </bottom>
    </border>
    <border>
      <left style="thick">
        <color rgb="FF000000"/>
      </left>
      <right style="thin">
        <color rgb="FFD4EBDA"/>
      </right>
      <bottom style="thick">
        <color rgb="FF000000"/>
      </bottom>
    </border>
    <border>
      <right style="thick">
        <color rgb="FF000000"/>
      </right>
    </border>
    <border>
      <left style="thick">
        <color rgb="FF000000"/>
      </left>
      <top style="thick">
        <color rgb="FF000000"/>
      </top>
      <bottom style="thin">
        <color rgb="FFD4EBDA"/>
      </bottom>
    </border>
    <border>
      <left style="thin">
        <color theme="8"/>
      </left>
      <right style="thin">
        <color theme="8"/>
      </right>
      <top style="thick">
        <color rgb="FF000000"/>
      </top>
      <bottom style="thin">
        <color theme="8"/>
      </bottom>
    </border>
    <border>
      <right style="thin">
        <color rgb="FFD4EBDA"/>
      </right>
      <top style="thick">
        <color rgb="FF000000"/>
      </top>
      <bottom style="thin">
        <color rgb="FFD4EBDA"/>
      </bottom>
    </border>
    <border>
      <left style="thick">
        <color rgb="FF000000"/>
      </left>
      <top style="thin">
        <color rgb="FFD4EBDA"/>
      </top>
      <bottom style="thin">
        <color rgb="FFD4EBDA"/>
      </bottom>
    </border>
    <border>
      <left style="thick">
        <color rgb="FF000000"/>
      </left>
      <top style="thin">
        <color rgb="FFD4EBDA"/>
      </top>
      <bottom style="thick">
        <color rgb="FF000000"/>
      </bottom>
    </border>
    <border>
      <left style="thin">
        <color theme="8"/>
      </left>
      <right style="thin">
        <color theme="8"/>
      </right>
      <top style="thin">
        <color theme="8"/>
      </top>
      <bottom style="thick">
        <color rgb="FF000000"/>
      </bottom>
    </border>
    <border>
      <right style="thin">
        <color rgb="FFD4EBDA"/>
      </right>
      <top style="thin">
        <color rgb="FFD4EBDA"/>
      </top>
      <bottom style="thick">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horizontal="left"/>
    </xf>
    <xf borderId="1" fillId="0" fontId="2" numFmtId="0" xfId="0" applyAlignment="1" applyBorder="1" applyFont="1">
      <alignment horizontal="center" shrinkToFit="0" wrapText="1"/>
    </xf>
    <xf borderId="1" fillId="0" fontId="3" numFmtId="0" xfId="0" applyAlignment="1" applyBorder="1" applyFont="1">
      <alignment horizontal="center" shrinkToFit="0" wrapText="1"/>
    </xf>
    <xf borderId="1" fillId="0" fontId="3" numFmtId="0" xfId="0" applyAlignment="1" applyBorder="1" applyFont="1">
      <alignment horizontal="center" shrinkToFit="0" vertical="bottom" wrapText="1"/>
    </xf>
    <xf borderId="0" fillId="0" fontId="2" numFmtId="0" xfId="0" applyAlignment="1" applyFont="1">
      <alignment horizontal="center" shrinkToFit="0" wrapText="1"/>
    </xf>
    <xf borderId="1" fillId="2" fontId="4" numFmtId="0" xfId="0" applyAlignment="1" applyBorder="1" applyFill="1" applyFont="1">
      <alignment horizontal="center" shrinkToFit="0" wrapText="1"/>
    </xf>
    <xf borderId="1" fillId="2" fontId="5" numFmtId="0" xfId="0" applyAlignment="1" applyBorder="1" applyFont="1">
      <alignment horizontal="center" readingOrder="0" shrinkToFit="0" wrapText="1"/>
    </xf>
    <xf borderId="0" fillId="0" fontId="6" numFmtId="0" xfId="0" applyAlignment="1" applyFont="1">
      <alignment horizontal="center" shrinkToFit="0" wrapText="1"/>
    </xf>
    <xf borderId="2" fillId="0" fontId="2" numFmtId="0" xfId="0" applyAlignment="1" applyBorder="1" applyFont="1">
      <alignment horizontal="center" shrinkToFit="0" wrapText="1"/>
    </xf>
    <xf borderId="3" fillId="0" fontId="2" numFmtId="0" xfId="0" applyAlignment="1" applyBorder="1" applyFont="1">
      <alignment horizontal="center" shrinkToFit="0" wrapText="1"/>
    </xf>
    <xf borderId="4" fillId="0" fontId="2" numFmtId="0" xfId="0" applyAlignment="1" applyBorder="1" applyFont="1">
      <alignment horizontal="center" shrinkToFit="0" wrapText="1"/>
    </xf>
    <xf borderId="5" fillId="0" fontId="2" numFmtId="0" xfId="0" applyAlignment="1" applyBorder="1" applyFont="1">
      <alignment horizontal="center" shrinkToFit="0" wrapText="1"/>
    </xf>
    <xf borderId="6" fillId="0" fontId="2" numFmtId="0" xfId="0" applyAlignment="1" applyBorder="1" applyFont="1">
      <alignment horizontal="center" shrinkToFit="0" wrapText="1"/>
    </xf>
    <xf borderId="7" fillId="0" fontId="2" numFmtId="0" xfId="0" applyAlignment="1" applyBorder="1" applyFont="1">
      <alignment horizontal="center" shrinkToFit="0" wrapText="1"/>
    </xf>
    <xf borderId="8" fillId="0" fontId="2" numFmtId="0" xfId="0" applyAlignment="1" applyBorder="1" applyFont="1">
      <alignment horizontal="center" shrinkToFit="0" wrapText="1"/>
    </xf>
    <xf borderId="9" fillId="0" fontId="2" numFmtId="0" xfId="0" applyAlignment="1" applyBorder="1" applyFont="1">
      <alignment horizontal="center" shrinkToFit="0" wrapText="1"/>
    </xf>
    <xf borderId="10" fillId="0" fontId="2" numFmtId="0" xfId="0" applyAlignment="1" applyBorder="1" applyFont="1">
      <alignment horizontal="center" shrinkToFit="0" wrapText="1"/>
    </xf>
    <xf borderId="11" fillId="0" fontId="2" numFmtId="0" xfId="0" applyAlignment="1" applyBorder="1" applyFont="1">
      <alignment horizontal="center" shrinkToFit="0" wrapText="1"/>
    </xf>
    <xf borderId="12" fillId="0" fontId="2" numFmtId="0" xfId="0" applyAlignment="1" applyBorder="1" applyFont="1">
      <alignment horizontal="center" shrinkToFit="0" wrapText="1"/>
    </xf>
    <xf borderId="13" fillId="0" fontId="2" numFmtId="0" xfId="0" applyAlignment="1" applyBorder="1" applyFont="1">
      <alignment horizontal="center" shrinkToFit="0" wrapText="1"/>
    </xf>
    <xf borderId="14" fillId="0" fontId="2" numFmtId="0" xfId="0" applyAlignment="1" applyBorder="1" applyFont="1">
      <alignment horizontal="center" shrinkToFit="0" wrapText="1"/>
    </xf>
    <xf borderId="15" fillId="0" fontId="2" numFmtId="0" xfId="0" applyAlignment="1" applyBorder="1" applyFont="1">
      <alignment horizontal="center" shrinkToFit="0" wrapText="1"/>
    </xf>
    <xf borderId="16" fillId="0" fontId="2" numFmtId="0" xfId="0" applyAlignment="1" applyBorder="1" applyFont="1">
      <alignment horizontal="center" shrinkToFit="0" wrapText="1"/>
    </xf>
    <xf borderId="17" fillId="0" fontId="2" numFmtId="0" xfId="0" applyAlignment="1" applyBorder="1" applyFont="1">
      <alignment horizontal="center" shrinkToFit="0" wrapText="1"/>
    </xf>
    <xf borderId="18" fillId="0" fontId="2" numFmtId="0" xfId="0" applyAlignment="1" applyBorder="1" applyFont="1">
      <alignment horizontal="center" shrinkToFit="0" wrapText="1"/>
    </xf>
    <xf borderId="19" fillId="0" fontId="2" numFmtId="0" xfId="0" applyAlignment="1" applyBorder="1" applyFont="1">
      <alignment horizontal="center" shrinkToFit="0" wrapText="1"/>
    </xf>
    <xf borderId="20" fillId="0" fontId="2" numFmtId="0" xfId="0" applyAlignment="1" applyBorder="1" applyFont="1">
      <alignment horizontal="center" shrinkToFit="0" wrapText="1"/>
    </xf>
    <xf borderId="21" fillId="0" fontId="2" numFmtId="0" xfId="0" applyAlignment="1" applyBorder="1" applyFont="1">
      <alignment horizontal="center" shrinkToFit="0" wrapText="1"/>
    </xf>
    <xf borderId="22" fillId="0" fontId="2" numFmtId="0" xfId="0" applyAlignment="1" applyBorder="1" applyFont="1">
      <alignment horizontal="center" shrinkToFit="0" wrapText="1"/>
    </xf>
    <xf borderId="23" fillId="0" fontId="2" numFmtId="0" xfId="0" applyAlignment="1" applyBorder="1" applyFont="1">
      <alignment horizontal="center" shrinkToFit="0" wrapText="1"/>
    </xf>
    <xf borderId="24" fillId="0" fontId="2" numFmtId="0" xfId="0" applyAlignment="1" applyBorder="1" applyFont="1">
      <alignment horizontal="center" shrinkToFit="0" wrapText="1"/>
    </xf>
    <xf borderId="25" fillId="0" fontId="2" numFmtId="0" xfId="0" applyAlignment="1" applyBorder="1" applyFont="1">
      <alignment horizontal="center" shrinkToFit="0" wrapText="1"/>
    </xf>
    <xf borderId="26" fillId="0" fontId="2" numFmtId="0" xfId="0" applyAlignment="1" applyBorder="1" applyFont="1">
      <alignment horizontal="center" shrinkToFit="0" wrapText="1"/>
    </xf>
    <xf borderId="0" fillId="0" fontId="7" numFmtId="0" xfId="0" applyAlignment="1" applyFont="1">
      <alignment horizontal="center" shrinkToFit="0" wrapText="1"/>
    </xf>
    <xf borderId="0" fillId="0" fontId="8" numFmtId="0" xfId="0" applyAlignment="1" applyFont="1">
      <alignment horizontal="center" shrinkToFit="0" wrapText="1"/>
    </xf>
    <xf borderId="27" fillId="0" fontId="2" numFmtId="0" xfId="0" applyAlignment="1" applyBorder="1" applyFont="1">
      <alignment horizontal="center" shrinkToFit="0" wrapText="1"/>
    </xf>
    <xf borderId="28" fillId="0" fontId="2" numFmtId="0" xfId="0" applyAlignment="1" applyBorder="1" applyFont="1">
      <alignment horizontal="center" shrinkToFit="0" wrapText="1"/>
    </xf>
    <xf borderId="29" fillId="0" fontId="2" numFmtId="0" xfId="0" applyAlignment="1" applyBorder="1" applyFont="1">
      <alignment horizontal="center" shrinkToFit="0" wrapText="1"/>
    </xf>
    <xf borderId="30" fillId="0" fontId="2" numFmtId="0" xfId="0" applyAlignment="1" applyBorder="1" applyFont="1">
      <alignment horizontal="center" shrinkToFit="0" wrapText="1"/>
    </xf>
    <xf borderId="31" fillId="0" fontId="2" numFmtId="0" xfId="0" applyAlignment="1" applyBorder="1" applyFont="1">
      <alignment horizontal="center" shrinkToFit="0" wrapText="1"/>
    </xf>
    <xf borderId="32" fillId="0" fontId="2" numFmtId="0" xfId="0" applyAlignment="1" applyBorder="1" applyFont="1">
      <alignment horizontal="center" shrinkToFit="0" wrapText="1"/>
    </xf>
    <xf borderId="33" fillId="0" fontId="2" numFmtId="0" xfId="0" applyAlignment="1" applyBorder="1" applyFont="1">
      <alignment horizontal="center" shrinkToFit="0" wrapText="1"/>
    </xf>
    <xf borderId="34" fillId="0" fontId="2" numFmtId="0" xfId="0" applyAlignment="1" applyBorder="1" applyFont="1">
      <alignment horizontal="center" shrinkToFit="0" wrapText="1"/>
    </xf>
    <xf borderId="35" fillId="0" fontId="2" numFmtId="0" xfId="0" applyAlignment="1" applyBorder="1" applyFont="1">
      <alignment horizontal="center" shrinkToFit="0" wrapText="1"/>
    </xf>
    <xf borderId="36" fillId="0" fontId="2" numFmtId="0" xfId="0" applyAlignment="1" applyBorder="1" applyFont="1">
      <alignment horizontal="center" shrinkToFit="0" wrapText="1"/>
    </xf>
    <xf borderId="37" fillId="0" fontId="2" numFmtId="0" xfId="0" applyAlignment="1" applyBorder="1" applyFont="1">
      <alignment horizontal="center" shrinkToFit="0" wrapText="1"/>
    </xf>
    <xf borderId="38" fillId="0" fontId="2" numFmtId="0" xfId="0" applyAlignment="1" applyBorder="1" applyFont="1">
      <alignment horizontal="center" shrinkToFit="0" wrapText="1"/>
    </xf>
    <xf borderId="39" fillId="0" fontId="2" numFmtId="0" xfId="0" applyAlignment="1" applyBorder="1" applyFont="1">
      <alignment horizontal="center" shrinkToFit="0" wrapText="1"/>
    </xf>
    <xf borderId="40" fillId="0" fontId="2" numFmtId="0" xfId="0" applyAlignment="1" applyBorder="1" applyFont="1">
      <alignment horizontal="center" shrinkToFit="0" wrapText="1"/>
    </xf>
    <xf borderId="41" fillId="0" fontId="2" numFmtId="0" xfId="0" applyAlignment="1" applyBorder="1" applyFont="1">
      <alignment horizontal="center" shrinkToFit="0" wrapText="1"/>
    </xf>
    <xf borderId="42" fillId="0" fontId="2" numFmtId="0" xfId="0" applyAlignment="1" applyBorder="1" applyFont="1">
      <alignment horizontal="center" shrinkToFit="0" wrapText="1"/>
    </xf>
    <xf borderId="43" fillId="0" fontId="2" numFmtId="0" xfId="0" applyAlignment="1" applyBorder="1" applyFont="1">
      <alignment horizontal="center" shrinkToFit="0" wrapText="1"/>
    </xf>
    <xf borderId="44" fillId="0" fontId="2" numFmtId="0" xfId="0" applyAlignment="1" applyBorder="1" applyFont="1">
      <alignment horizontal="center" shrinkToFit="0" wrapText="1"/>
    </xf>
    <xf borderId="45" fillId="0" fontId="2" numFmtId="0" xfId="0" applyAlignment="1" applyBorder="1" applyFont="1">
      <alignment horizontal="center" shrinkToFit="0" wrapText="1"/>
    </xf>
    <xf borderId="39" fillId="0" fontId="2" numFmtId="0" xfId="0" applyAlignment="1" applyBorder="1" applyFont="1">
      <alignment horizontal="center" shrinkToFit="0" vertical="top" wrapText="1"/>
    </xf>
    <xf borderId="4" fillId="0" fontId="2" numFmtId="0" xfId="0" applyAlignment="1" applyBorder="1" applyFont="1">
      <alignment horizontal="center" shrinkToFit="0" vertical="top" wrapText="1"/>
    </xf>
    <xf borderId="27" fillId="0" fontId="2" numFmtId="0" xfId="0" applyAlignment="1" applyBorder="1" applyFont="1">
      <alignment horizontal="center" shrinkToFit="0" vertical="top" wrapText="1"/>
    </xf>
    <xf borderId="3" fillId="0" fontId="2" numFmtId="0" xfId="0" applyAlignment="1" applyBorder="1" applyFont="1">
      <alignment horizontal="center" shrinkToFit="0" vertical="top" wrapText="1"/>
    </xf>
    <xf borderId="42" fillId="0" fontId="2"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9" fillId="0" fontId="2" numFmtId="0" xfId="0" applyAlignment="1" applyBorder="1" applyFont="1">
      <alignment horizontal="center" shrinkToFit="0" vertical="top" wrapText="1"/>
    </xf>
    <xf borderId="0" fillId="0" fontId="2" numFmtId="0" xfId="0" applyAlignment="1" applyFont="1">
      <alignment horizontal="center" shrinkToFit="0" vertical="top" wrapText="1"/>
    </xf>
    <xf borderId="44" fillId="0" fontId="2" numFmtId="0" xfId="0" applyAlignment="1" applyBorder="1" applyFont="1">
      <alignment horizontal="center" shrinkToFit="0" vertical="top" wrapText="1"/>
    </xf>
    <xf borderId="15" fillId="0" fontId="2" numFmtId="0" xfId="0" applyAlignment="1" applyBorder="1" applyFont="1">
      <alignment horizontal="center" shrinkToFit="0" vertical="top" wrapText="1"/>
    </xf>
    <xf borderId="14" fillId="0" fontId="2" numFmtId="0" xfId="0" applyAlignment="1" applyBorder="1" applyFont="1">
      <alignment horizontal="center" shrinkToFit="0" vertical="top" wrapText="1"/>
    </xf>
    <xf borderId="0" fillId="0" fontId="9" numFmtId="0" xfId="0" applyAlignment="1" applyFont="1">
      <alignment horizontal="left"/>
    </xf>
    <xf borderId="0" fillId="0" fontId="2" numFmtId="0" xfId="0" applyAlignment="1" applyFont="1">
      <alignment horizontal="center" readingOrder="0"/>
    </xf>
    <xf borderId="13" fillId="0" fontId="10" numFmtId="0" xfId="0" applyAlignment="1" applyBorder="1" applyFont="1">
      <alignment horizontal="center" shrinkToFit="0" vertical="bottom" wrapText="1"/>
    </xf>
    <xf borderId="0" fillId="0" fontId="2" numFmtId="0" xfId="0" applyAlignment="1" applyFont="1">
      <alignment horizontal="center" readingOrder="0" shrinkToFit="0" wrapText="1"/>
    </xf>
    <xf borderId="0" fillId="0" fontId="2" numFmtId="0" xfId="0" applyAlignment="1" applyFont="1">
      <alignment horizontal="center"/>
    </xf>
    <xf borderId="31" fillId="3" fontId="11" numFmtId="0" xfId="0" applyAlignment="1" applyBorder="1" applyFill="1" applyFont="1">
      <alignment horizontal="center"/>
    </xf>
    <xf borderId="31" fillId="3" fontId="12" numFmtId="0" xfId="0" applyAlignment="1" applyBorder="1" applyFont="1">
      <alignment horizontal="center" readingOrder="0"/>
    </xf>
    <xf borderId="31" fillId="3" fontId="12" numFmtId="0" xfId="0" applyAlignment="1" applyBorder="1" applyFont="1">
      <alignment horizontal="center" readingOrder="0" shrinkToFit="0" wrapText="1"/>
    </xf>
    <xf borderId="46" fillId="0" fontId="2" numFmtId="0" xfId="0" applyAlignment="1" applyBorder="1" applyFont="1">
      <alignment horizontal="center"/>
    </xf>
    <xf borderId="47" fillId="0" fontId="2" numFmtId="0" xfId="0" applyAlignment="1" applyBorder="1" applyFont="1">
      <alignment horizontal="center" shrinkToFit="0" wrapText="1"/>
    </xf>
    <xf borderId="48" fillId="0" fontId="2" numFmtId="0" xfId="0" applyAlignment="1" applyBorder="1" applyFont="1">
      <alignment horizontal="center"/>
    </xf>
    <xf borderId="49" fillId="0" fontId="2" numFmtId="0" xfId="0" applyAlignment="1" applyBorder="1" applyFont="1">
      <alignment horizontal="center"/>
    </xf>
    <xf borderId="50" fillId="0" fontId="2" numFmtId="0" xfId="0" applyAlignment="1" applyBorder="1" applyFont="1">
      <alignment horizontal="center"/>
    </xf>
    <xf borderId="51" fillId="0" fontId="2" numFmtId="0" xfId="0" applyAlignment="1" applyBorder="1" applyFont="1">
      <alignment horizontal="center" shrinkToFit="0" wrapText="1"/>
    </xf>
    <xf borderId="52" fillId="0" fontId="2" numFmtId="0" xfId="0" applyAlignment="1" applyBorder="1" applyFont="1">
      <alignment horizontal="center" shrinkToFit="0" wrapText="1"/>
    </xf>
    <xf borderId="53" fillId="0" fontId="2" numFmtId="0" xfId="0" applyAlignment="1" applyBorder="1" applyFont="1">
      <alignment horizontal="center"/>
    </xf>
    <xf borderId="46" fillId="0" fontId="2" numFmtId="0" xfId="0" applyAlignment="1" applyBorder="1" applyFont="1">
      <alignment horizontal="center" shrinkToFit="0" wrapText="1"/>
    </xf>
    <xf borderId="54" fillId="0" fontId="2" numFmtId="0" xfId="0" applyAlignment="1" applyBorder="1" applyFont="1">
      <alignment horizontal="center" shrinkToFit="0" wrapText="1"/>
    </xf>
    <xf borderId="55" fillId="0" fontId="2" numFmtId="0" xfId="0" applyAlignment="1" applyBorder="1" applyFont="1">
      <alignment horizontal="center" shrinkToFit="0" wrapText="1"/>
    </xf>
    <xf borderId="56" fillId="0" fontId="2" numFmtId="0" xfId="0" applyAlignment="1" applyBorder="1" applyFont="1">
      <alignment horizontal="center"/>
    </xf>
    <xf borderId="51" fillId="0" fontId="2" numFmtId="0" xfId="0" applyAlignment="1" applyBorder="1" applyFont="1">
      <alignment horizontal="center"/>
    </xf>
    <xf borderId="49" fillId="0" fontId="2" numFmtId="0" xfId="0" applyAlignment="1" applyBorder="1" applyFont="1">
      <alignment horizontal="center" shrinkToFit="0" wrapText="1"/>
    </xf>
    <xf borderId="47" fillId="0" fontId="2" numFmtId="0" xfId="0" applyAlignment="1" applyBorder="1" applyFont="1">
      <alignment horizontal="center"/>
    </xf>
    <xf borderId="13" fillId="0" fontId="13" numFmtId="0" xfId="0" applyAlignment="1" applyBorder="1" applyFont="1">
      <alignment horizontal="center" readingOrder="0" shrinkToFit="0" wrapText="1"/>
    </xf>
    <xf borderId="44" fillId="0" fontId="14" numFmtId="0" xfId="0" applyAlignment="1" applyBorder="1" applyFont="1">
      <alignment readingOrder="0" shrinkToFit="0" wrapText="1"/>
    </xf>
    <xf borderId="13" fillId="0" fontId="14" numFmtId="0" xfId="0" applyAlignment="1" applyBorder="1" applyFont="1">
      <alignment horizontal="center" shrinkToFit="0" wrapText="1"/>
    </xf>
    <xf borderId="13" fillId="0" fontId="14" numFmtId="0" xfId="0" applyAlignment="1" applyBorder="1" applyFont="1">
      <alignment horizontal="center"/>
    </xf>
    <xf borderId="0" fillId="0" fontId="2" numFmtId="0" xfId="0" applyAlignment="1" applyFont="1">
      <alignment shrinkToFit="0" wrapText="1"/>
    </xf>
    <xf borderId="57" fillId="4" fontId="4" numFmtId="0" xfId="0" applyAlignment="1" applyBorder="1" applyFill="1" applyFont="1">
      <alignment horizontal="center"/>
    </xf>
    <xf borderId="31" fillId="4" fontId="4" numFmtId="0" xfId="0" applyAlignment="1" applyBorder="1" applyFont="1">
      <alignment horizontal="center" shrinkToFit="0" wrapText="1"/>
    </xf>
    <xf borderId="31" fillId="4" fontId="4" numFmtId="0" xfId="0" applyAlignment="1" applyBorder="1" applyFont="1">
      <alignment horizontal="center"/>
    </xf>
    <xf borderId="31" fillId="4" fontId="5" numFmtId="0" xfId="0" applyAlignment="1" applyBorder="1" applyFont="1">
      <alignment horizontal="center" readingOrder="0"/>
    </xf>
    <xf borderId="0" fillId="0" fontId="2" numFmtId="0" xfId="0" applyFont="1"/>
    <xf borderId="47" fillId="0" fontId="2" numFmtId="0" xfId="0" applyAlignment="1" applyBorder="1" applyFont="1">
      <alignment shrinkToFit="0" wrapText="1"/>
    </xf>
    <xf borderId="48" fillId="0" fontId="2" numFmtId="0" xfId="0" applyAlignment="1" applyBorder="1" applyFont="1">
      <alignment shrinkToFit="0" wrapText="1"/>
    </xf>
    <xf borderId="58" fillId="5" fontId="2" numFmtId="0" xfId="0" applyBorder="1" applyFill="1" applyFont="1"/>
    <xf borderId="30" fillId="5" fontId="2" numFmtId="0" xfId="0" applyBorder="1" applyFont="1"/>
    <xf borderId="1" fillId="0" fontId="2" numFmtId="0" xfId="0" applyAlignment="1" applyBorder="1" applyFont="1">
      <alignment shrinkToFit="0" wrapText="1"/>
    </xf>
    <xf borderId="50" fillId="0" fontId="2" numFmtId="0" xfId="0" applyAlignment="1" applyBorder="1" applyFont="1">
      <alignment shrinkToFit="0" wrapText="1"/>
    </xf>
    <xf borderId="30" fillId="0" fontId="2" numFmtId="0" xfId="0" applyAlignment="1" applyBorder="1" applyFont="1">
      <alignment shrinkToFit="0" wrapText="1"/>
    </xf>
    <xf borderId="52" fillId="0" fontId="2" numFmtId="0" xfId="0" applyAlignment="1" applyBorder="1" applyFont="1">
      <alignment shrinkToFit="0" wrapText="1"/>
    </xf>
    <xf borderId="53" fillId="0" fontId="2" numFmtId="0" xfId="0" applyAlignment="1" applyBorder="1" applyFont="1">
      <alignment shrinkToFit="0" wrapText="1"/>
    </xf>
    <xf borderId="59" fillId="0" fontId="2" numFmtId="0" xfId="0" applyAlignment="1" applyBorder="1" applyFont="1">
      <alignment shrinkToFit="0" wrapText="1"/>
    </xf>
    <xf borderId="60" fillId="0" fontId="2" numFmtId="0" xfId="0" applyAlignment="1" applyBorder="1" applyFont="1">
      <alignment shrinkToFit="0" wrapText="1"/>
    </xf>
    <xf borderId="61" fillId="0" fontId="2" numFmtId="0" xfId="0" applyAlignment="1" applyBorder="1" applyFont="1">
      <alignment horizontal="center" shrinkToFit="0" wrapText="1"/>
    </xf>
    <xf borderId="62" fillId="0" fontId="2" numFmtId="0" xfId="0" applyAlignment="1" applyBorder="1" applyFont="1">
      <alignment shrinkToFit="0" wrapText="1"/>
    </xf>
    <xf borderId="63" fillId="0" fontId="2" numFmtId="0" xfId="0" applyAlignment="1" applyBorder="1" applyFont="1">
      <alignment shrinkToFit="0" wrapText="1"/>
    </xf>
    <xf borderId="64" fillId="0" fontId="2" numFmtId="0" xfId="0" applyAlignment="1" applyBorder="1" applyFont="1">
      <alignment shrinkToFit="0" wrapText="1"/>
    </xf>
    <xf borderId="65" fillId="0" fontId="2" numFmtId="0" xfId="0" applyAlignment="1" applyBorder="1" applyFont="1">
      <alignment shrinkToFit="0" wrapText="1"/>
    </xf>
    <xf borderId="66" fillId="0" fontId="2" numFmtId="0" xfId="0" applyAlignment="1" applyBorder="1" applyFont="1">
      <alignment shrinkToFit="0" wrapText="1"/>
    </xf>
    <xf borderId="67" fillId="0" fontId="2" numFmtId="0" xfId="0" applyAlignment="1" applyBorder="1" applyFont="1">
      <alignment shrinkToFit="0" wrapText="1"/>
    </xf>
    <xf borderId="68" fillId="0" fontId="2" numFmtId="0" xfId="0" applyAlignment="1" applyBorder="1" applyFont="1">
      <alignment shrinkToFit="0" wrapText="1"/>
    </xf>
    <xf borderId="69" fillId="5" fontId="2" numFmtId="0" xfId="0" applyBorder="1" applyFont="1"/>
    <xf borderId="70" fillId="5" fontId="2" numFmtId="0" xfId="0" applyBorder="1" applyFont="1"/>
    <xf borderId="71" fillId="0" fontId="2" numFmtId="0" xfId="0" applyAlignment="1" applyBorder="1" applyFont="1">
      <alignment horizontal="center" shrinkToFit="0" wrapText="1"/>
    </xf>
    <xf borderId="27" fillId="0" fontId="2" numFmtId="0" xfId="0" applyAlignment="1" applyBorder="1" applyFont="1">
      <alignment shrinkToFit="0" wrapText="1"/>
    </xf>
    <xf borderId="72" fillId="0" fontId="2" numFmtId="0" xfId="0" applyAlignment="1" applyBorder="1" applyFont="1">
      <alignment shrinkToFit="0" wrapText="1"/>
    </xf>
    <xf borderId="73" fillId="0" fontId="2" numFmtId="0" xfId="0" applyAlignment="1" applyBorder="1" applyFont="1">
      <alignment shrinkToFit="0" wrapText="1"/>
    </xf>
    <xf borderId="73" fillId="0" fontId="2" numFmtId="0" xfId="0" applyAlignment="1" applyBorder="1" applyFont="1">
      <alignment horizontal="center" shrinkToFit="0" wrapText="1"/>
    </xf>
    <xf borderId="10" fillId="0" fontId="2" numFmtId="0" xfId="0" applyAlignment="1" applyBorder="1" applyFont="1">
      <alignment shrinkToFit="0" wrapText="1"/>
    </xf>
    <xf borderId="74" fillId="0" fontId="2" numFmtId="0" xfId="0" applyAlignment="1" applyBorder="1" applyFont="1">
      <alignment horizontal="center" shrinkToFit="0" wrapText="1"/>
    </xf>
    <xf borderId="75" fillId="0" fontId="2" numFmtId="0" xfId="0" applyAlignment="1" applyBorder="1" applyFont="1">
      <alignment shrinkToFit="0" wrapText="1"/>
    </xf>
    <xf borderId="75" fillId="0" fontId="2" numFmtId="0" xfId="0" applyAlignment="1" applyBorder="1" applyFont="1">
      <alignment horizontal="center" shrinkToFit="0" wrapText="1"/>
    </xf>
    <xf borderId="51" fillId="0" fontId="2" numFmtId="0" xfId="0" applyAlignment="1" applyBorder="1" applyFont="1">
      <alignment shrinkToFit="0" wrapText="1"/>
    </xf>
    <xf borderId="47" fillId="0" fontId="2" numFmtId="0" xfId="0" applyBorder="1" applyFont="1"/>
    <xf borderId="76" fillId="0" fontId="2" numFmtId="0" xfId="0" applyAlignment="1" applyBorder="1" applyFont="1">
      <alignment horizontal="center"/>
    </xf>
    <xf borderId="1" fillId="0" fontId="2" numFmtId="0" xfId="0" applyBorder="1" applyFont="1"/>
    <xf borderId="1" fillId="0" fontId="2" numFmtId="0" xfId="0" applyAlignment="1" applyBorder="1" applyFont="1">
      <alignment horizontal="center"/>
    </xf>
    <xf borderId="77" fillId="0" fontId="2" numFmtId="0" xfId="0" applyAlignment="1" applyBorder="1" applyFont="1">
      <alignment horizontal="center"/>
    </xf>
    <xf borderId="52" fillId="0" fontId="2" numFmtId="0" xfId="0" applyBorder="1" applyFont="1"/>
    <xf borderId="52" fillId="0" fontId="2" numFmtId="0" xfId="0" applyAlignment="1" applyBorder="1" applyFont="1">
      <alignment horizontal="center"/>
    </xf>
    <xf borderId="0" fillId="0" fontId="7" numFmtId="0" xfId="0" applyAlignment="1" applyFont="1">
      <alignment shrinkToFit="0" wrapText="1"/>
    </xf>
    <xf borderId="78" fillId="0" fontId="7" numFmtId="0" xfId="0" applyAlignment="1" applyBorder="1" applyFont="1">
      <alignment shrinkToFit="0" wrapText="1"/>
    </xf>
    <xf borderId="0" fillId="0" fontId="8" numFmtId="0" xfId="0" applyAlignment="1" applyFont="1">
      <alignment shrinkToFit="0" wrapText="1"/>
    </xf>
    <xf borderId="79" fillId="0" fontId="2" numFmtId="0" xfId="0" applyAlignment="1" applyBorder="1" applyFont="1">
      <alignment horizontal="center"/>
    </xf>
    <xf borderId="80" fillId="0" fontId="2" numFmtId="0" xfId="0" applyAlignment="1" applyBorder="1" applyFont="1">
      <alignment horizontal="center" shrinkToFit="0" wrapText="1"/>
    </xf>
    <xf borderId="81" fillId="0" fontId="2" numFmtId="0" xfId="0" applyAlignment="1" applyBorder="1" applyFont="1">
      <alignment shrinkToFit="0" wrapText="1"/>
    </xf>
    <xf borderId="82" fillId="0" fontId="2" numFmtId="0" xfId="0" applyAlignment="1" applyBorder="1" applyFont="1">
      <alignment horizontal="center"/>
    </xf>
    <xf borderId="9" fillId="0" fontId="2" numFmtId="0" xfId="0" applyAlignment="1" applyBorder="1" applyFont="1">
      <alignment shrinkToFit="0" wrapText="1"/>
    </xf>
    <xf borderId="83" fillId="0" fontId="2" numFmtId="0" xfId="0" applyAlignment="1" applyBorder="1" applyFont="1">
      <alignment horizontal="center"/>
    </xf>
    <xf borderId="84" fillId="0" fontId="2" numFmtId="0" xfId="0" applyAlignment="1" applyBorder="1" applyFont="1">
      <alignment horizontal="center" shrinkToFit="0" wrapText="1"/>
    </xf>
    <xf borderId="85" fillId="0" fontId="2" numFmtId="0" xfId="0" applyAlignment="1" applyBorder="1" applyFont="1">
      <alignment shrinkToFit="0" wrapText="1"/>
    </xf>
    <xf borderId="79" fillId="0" fontId="2" numFmtId="0" xfId="0" applyAlignment="1" applyBorder="1" applyFont="1">
      <alignment horizontal="center" vertical="top"/>
    </xf>
    <xf borderId="47" fillId="0" fontId="2" numFmtId="0" xfId="0" applyAlignment="1" applyBorder="1" applyFont="1">
      <alignment horizontal="center" shrinkToFit="0" vertical="top" wrapText="1"/>
    </xf>
    <xf borderId="81" fillId="0" fontId="2" numFmtId="0" xfId="0" applyAlignment="1" applyBorder="1" applyFont="1">
      <alignment shrinkToFit="0" vertical="top" wrapText="1"/>
    </xf>
    <xf borderId="47" fillId="0" fontId="2" numFmtId="0" xfId="0" applyAlignment="1" applyBorder="1" applyFont="1">
      <alignment shrinkToFit="0" vertical="top" wrapText="1"/>
    </xf>
    <xf borderId="47" fillId="0" fontId="2" numFmtId="0" xfId="0" applyAlignment="1" applyBorder="1" applyFont="1">
      <alignment vertical="top"/>
    </xf>
    <xf borderId="47" fillId="0" fontId="2" numFmtId="0" xfId="0" applyAlignment="1" applyBorder="1" applyFont="1">
      <alignment horizontal="center" vertical="top"/>
    </xf>
    <xf borderId="48" fillId="0" fontId="2" numFmtId="0" xfId="0" applyAlignment="1" applyBorder="1" applyFont="1">
      <alignment shrinkToFit="0" vertical="top" wrapText="1"/>
    </xf>
    <xf borderId="82" fillId="0" fontId="2" numFmtId="0" xfId="0" applyAlignment="1" applyBorder="1" applyFont="1">
      <alignment horizontal="center" vertical="top"/>
    </xf>
    <xf borderId="9" fillId="0" fontId="2"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vertical="top"/>
    </xf>
    <xf borderId="1" fillId="0" fontId="2" numFmtId="0" xfId="0" applyAlignment="1" applyBorder="1" applyFont="1">
      <alignment horizontal="center" vertical="top"/>
    </xf>
    <xf borderId="50" fillId="0" fontId="2" numFmtId="0" xfId="0" applyAlignment="1" applyBorder="1" applyFont="1">
      <alignment shrinkToFit="0" vertical="top" wrapText="1"/>
    </xf>
    <xf borderId="0" fillId="0" fontId="2" numFmtId="0" xfId="0" applyAlignment="1" applyFont="1">
      <alignment shrinkToFit="0" vertical="top" wrapText="1"/>
    </xf>
    <xf borderId="83" fillId="0" fontId="2" numFmtId="0" xfId="0" applyAlignment="1" applyBorder="1" applyFont="1">
      <alignment horizontal="center" vertical="top"/>
    </xf>
    <xf borderId="52" fillId="0" fontId="2" numFmtId="0" xfId="0" applyAlignment="1" applyBorder="1" applyFont="1">
      <alignment horizontal="center" shrinkToFit="0" vertical="top" wrapText="1"/>
    </xf>
    <xf borderId="85" fillId="0" fontId="2" numFmtId="0" xfId="0" applyAlignment="1" applyBorder="1" applyFont="1">
      <alignment shrinkToFit="0" vertical="top" wrapText="1"/>
    </xf>
    <xf borderId="52" fillId="0" fontId="2" numFmtId="0" xfId="0" applyAlignment="1" applyBorder="1" applyFont="1">
      <alignment shrinkToFit="0" vertical="top" wrapText="1"/>
    </xf>
    <xf borderId="52" fillId="0" fontId="2" numFmtId="0" xfId="0" applyAlignment="1" applyBorder="1" applyFont="1">
      <alignment vertical="top"/>
    </xf>
    <xf borderId="52" fillId="0" fontId="2" numFmtId="0" xfId="0" applyAlignment="1" applyBorder="1" applyFont="1">
      <alignment horizontal="center" vertical="top"/>
    </xf>
    <xf borderId="53" fillId="0" fontId="2" numFmtId="0" xfId="0" applyAlignment="1" applyBorder="1" applyFont="1">
      <alignment shrinkToFit="0" vertical="top" wrapText="1"/>
    </xf>
    <xf borderId="4" fillId="0" fontId="2" numFmtId="0" xfId="0" applyAlignment="1" applyBorder="1" applyFont="1">
      <alignment horizontal="center"/>
    </xf>
    <xf borderId="4" fillId="0" fontId="2" numFmtId="0" xfId="0" applyAlignment="1" applyBorder="1" applyFont="1">
      <alignment shrinkToFit="0" wrapText="1"/>
    </xf>
    <xf borderId="4" fillId="0" fontId="2" numFmtId="0" xfId="0" applyBorder="1" applyFont="1"/>
    <xf borderId="0" fillId="0" fontId="1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9.25"/>
    <col customWidth="1" min="2" max="2" width="14.13"/>
    <col customWidth="1" min="3" max="3" width="13.38"/>
    <col customWidth="1" min="4" max="11" width="30.0"/>
    <col customWidth="1" min="12" max="12" width="10.63"/>
    <col customWidth="1" min="13" max="13" width="30.88"/>
    <col customWidth="1" min="14" max="14" width="14.5"/>
    <col customWidth="1" min="15" max="22" width="9.88"/>
  </cols>
  <sheetData>
    <row r="1" ht="42.0" customHeight="1">
      <c r="A1" s="1" t="s">
        <v>0</v>
      </c>
      <c r="B1" s="2"/>
      <c r="C1" s="2"/>
      <c r="D1" s="3" t="s">
        <v>1</v>
      </c>
      <c r="E1" s="3" t="s">
        <v>2</v>
      </c>
      <c r="F1" s="3" t="s">
        <v>3</v>
      </c>
      <c r="G1" s="3" t="s">
        <v>4</v>
      </c>
      <c r="H1" s="3" t="s">
        <v>5</v>
      </c>
      <c r="I1" s="3" t="s">
        <v>6</v>
      </c>
      <c r="J1" s="3" t="s">
        <v>7</v>
      </c>
      <c r="K1" s="4" t="s">
        <v>8</v>
      </c>
      <c r="L1" s="2"/>
      <c r="M1" s="2" t="s">
        <v>9</v>
      </c>
      <c r="N1" s="2"/>
      <c r="O1" s="5"/>
      <c r="P1" s="5"/>
      <c r="Q1" s="5"/>
      <c r="R1" s="5"/>
      <c r="S1" s="5"/>
      <c r="T1" s="5"/>
      <c r="U1" s="5"/>
      <c r="V1" s="5"/>
    </row>
    <row r="2" ht="14.25" customHeight="1">
      <c r="A2" s="6" t="s">
        <v>10</v>
      </c>
      <c r="B2" s="6" t="s">
        <v>11</v>
      </c>
      <c r="C2" s="6" t="s">
        <v>12</v>
      </c>
      <c r="D2" s="6" t="s">
        <v>13</v>
      </c>
      <c r="E2" s="7" t="s">
        <v>14</v>
      </c>
      <c r="F2" s="7" t="s">
        <v>15</v>
      </c>
      <c r="G2" s="7" t="s">
        <v>16</v>
      </c>
      <c r="H2" s="7" t="s">
        <v>17</v>
      </c>
      <c r="I2" s="6" t="s">
        <v>18</v>
      </c>
      <c r="J2" s="7" t="s">
        <v>19</v>
      </c>
      <c r="K2" s="6" t="s">
        <v>20</v>
      </c>
      <c r="L2" s="7" t="s">
        <v>21</v>
      </c>
      <c r="M2" s="6" t="s">
        <v>22</v>
      </c>
      <c r="N2" s="6" t="s">
        <v>23</v>
      </c>
      <c r="O2" s="8"/>
      <c r="P2" s="8"/>
      <c r="Q2" s="8"/>
      <c r="R2" s="8"/>
      <c r="S2" s="8"/>
      <c r="T2" s="8"/>
      <c r="U2" s="8"/>
      <c r="V2" s="8"/>
    </row>
    <row r="3" ht="14.25" customHeight="1">
      <c r="A3" s="9">
        <v>1.1</v>
      </c>
      <c r="B3" s="10" t="s">
        <v>24</v>
      </c>
      <c r="C3" s="10" t="s">
        <v>25</v>
      </c>
      <c r="D3" s="11" t="s">
        <v>26</v>
      </c>
      <c r="E3" s="12" t="s">
        <v>27</v>
      </c>
      <c r="F3" s="13" t="s">
        <v>28</v>
      </c>
      <c r="G3" s="11" t="s">
        <v>29</v>
      </c>
      <c r="H3" s="13" t="s">
        <v>30</v>
      </c>
      <c r="I3" s="13" t="s">
        <v>31</v>
      </c>
      <c r="J3" s="13" t="s">
        <v>32</v>
      </c>
      <c r="K3" s="13"/>
      <c r="L3" s="13">
        <v>766.0</v>
      </c>
      <c r="M3" s="13" t="s">
        <v>33</v>
      </c>
      <c r="N3" s="14" t="s">
        <v>34</v>
      </c>
      <c r="O3" s="5"/>
      <c r="P3" s="5"/>
      <c r="Q3" s="5"/>
      <c r="R3" s="5"/>
      <c r="S3" s="5"/>
      <c r="T3" s="5"/>
      <c r="U3" s="5"/>
      <c r="V3" s="5"/>
    </row>
    <row r="4" ht="14.25" customHeight="1">
      <c r="A4" s="15">
        <f t="shared" ref="A4:A8" si="1">A3+0.1</f>
        <v>1.2</v>
      </c>
      <c r="B4" s="16" t="s">
        <v>24</v>
      </c>
      <c r="C4" s="16" t="s">
        <v>25</v>
      </c>
      <c r="D4" s="2" t="s">
        <v>35</v>
      </c>
      <c r="E4" s="17" t="s">
        <v>36</v>
      </c>
      <c r="F4" s="17" t="s">
        <v>37</v>
      </c>
      <c r="G4" s="2" t="s">
        <v>38</v>
      </c>
      <c r="H4" s="17" t="s">
        <v>39</v>
      </c>
      <c r="I4" s="17" t="s">
        <v>40</v>
      </c>
      <c r="J4" s="17" t="s">
        <v>41</v>
      </c>
      <c r="K4" s="2"/>
      <c r="L4" s="17">
        <f t="shared" ref="L4:L8" si="2">L3+1</f>
        <v>767</v>
      </c>
      <c r="M4" s="17" t="s">
        <v>42</v>
      </c>
      <c r="N4" s="18" t="s">
        <v>34</v>
      </c>
      <c r="O4" s="5"/>
      <c r="P4" s="5"/>
      <c r="Q4" s="5"/>
      <c r="R4" s="5"/>
      <c r="S4" s="5"/>
      <c r="T4" s="5"/>
      <c r="U4" s="5"/>
      <c r="V4" s="5"/>
    </row>
    <row r="5" ht="14.25" customHeight="1">
      <c r="A5" s="15">
        <f t="shared" si="1"/>
        <v>1.3</v>
      </c>
      <c r="B5" s="16" t="s">
        <v>24</v>
      </c>
      <c r="C5" s="16" t="s">
        <v>25</v>
      </c>
      <c r="D5" s="2" t="s">
        <v>43</v>
      </c>
      <c r="E5" s="17" t="s">
        <v>44</v>
      </c>
      <c r="F5" s="19" t="s">
        <v>45</v>
      </c>
      <c r="G5" s="2" t="s">
        <v>46</v>
      </c>
      <c r="H5" s="17" t="s">
        <v>47</v>
      </c>
      <c r="I5" s="17" t="s">
        <v>48</v>
      </c>
      <c r="J5" s="17" t="s">
        <v>49</v>
      </c>
      <c r="K5" s="2"/>
      <c r="L5" s="17">
        <f t="shared" si="2"/>
        <v>768</v>
      </c>
      <c r="M5" s="17"/>
      <c r="N5" s="18" t="s">
        <v>34</v>
      </c>
      <c r="O5" s="5"/>
      <c r="P5" s="5"/>
      <c r="Q5" s="5"/>
      <c r="R5" s="5"/>
      <c r="S5" s="5"/>
      <c r="T5" s="5"/>
      <c r="U5" s="5"/>
      <c r="V5" s="5"/>
    </row>
    <row r="6" ht="14.25" customHeight="1">
      <c r="A6" s="15">
        <f t="shared" si="1"/>
        <v>1.4</v>
      </c>
      <c r="B6" s="16" t="s">
        <v>24</v>
      </c>
      <c r="C6" s="16" t="s">
        <v>25</v>
      </c>
      <c r="D6" s="2" t="s">
        <v>50</v>
      </c>
      <c r="E6" s="17" t="s">
        <v>51</v>
      </c>
      <c r="F6" s="17" t="s">
        <v>52</v>
      </c>
      <c r="G6" s="2" t="s">
        <v>53</v>
      </c>
      <c r="H6" s="17" t="s">
        <v>54</v>
      </c>
      <c r="I6" s="17" t="s">
        <v>55</v>
      </c>
      <c r="J6" s="17" t="s">
        <v>56</v>
      </c>
      <c r="K6" s="2"/>
      <c r="L6" s="17">
        <f t="shared" si="2"/>
        <v>769</v>
      </c>
      <c r="M6" s="17"/>
      <c r="N6" s="18" t="s">
        <v>34</v>
      </c>
      <c r="O6" s="5"/>
      <c r="P6" s="5"/>
      <c r="Q6" s="5"/>
      <c r="R6" s="5"/>
      <c r="S6" s="5"/>
      <c r="T6" s="5"/>
      <c r="U6" s="5"/>
      <c r="V6" s="5"/>
    </row>
    <row r="7" ht="14.25" customHeight="1">
      <c r="A7" s="15">
        <f t="shared" si="1"/>
        <v>1.5</v>
      </c>
      <c r="B7" s="16" t="s">
        <v>24</v>
      </c>
      <c r="C7" s="16" t="s">
        <v>25</v>
      </c>
      <c r="D7" s="2" t="s">
        <v>57</v>
      </c>
      <c r="E7" s="17" t="s">
        <v>58</v>
      </c>
      <c r="F7" s="17" t="s">
        <v>59</v>
      </c>
      <c r="G7" s="2" t="s">
        <v>60</v>
      </c>
      <c r="H7" s="17" t="s">
        <v>61</v>
      </c>
      <c r="I7" s="17" t="s">
        <v>62</v>
      </c>
      <c r="J7" s="17" t="s">
        <v>63</v>
      </c>
      <c r="K7" s="2"/>
      <c r="L7" s="17">
        <f t="shared" si="2"/>
        <v>770</v>
      </c>
      <c r="M7" s="17"/>
      <c r="N7" s="18" t="s">
        <v>34</v>
      </c>
      <c r="O7" s="5"/>
      <c r="P7" s="5"/>
      <c r="Q7" s="5"/>
      <c r="R7" s="5"/>
      <c r="S7" s="5"/>
      <c r="T7" s="5"/>
      <c r="U7" s="5"/>
      <c r="V7" s="5"/>
    </row>
    <row r="8" ht="14.25" customHeight="1">
      <c r="A8" s="20">
        <f t="shared" si="1"/>
        <v>1.6</v>
      </c>
      <c r="B8" s="21" t="s">
        <v>24</v>
      </c>
      <c r="C8" s="21" t="s">
        <v>25</v>
      </c>
      <c r="D8" s="22" t="s">
        <v>64</v>
      </c>
      <c r="E8" s="23" t="s">
        <v>65</v>
      </c>
      <c r="F8" s="23" t="s">
        <v>66</v>
      </c>
      <c r="G8" s="22" t="s">
        <v>67</v>
      </c>
      <c r="H8" s="23" t="s">
        <v>68</v>
      </c>
      <c r="I8" s="23" t="s">
        <v>69</v>
      </c>
      <c r="J8" s="23" t="s">
        <v>70</v>
      </c>
      <c r="K8" s="22"/>
      <c r="L8" s="23">
        <f t="shared" si="2"/>
        <v>771</v>
      </c>
      <c r="M8" s="23"/>
      <c r="N8" s="24" t="s">
        <v>34</v>
      </c>
      <c r="O8" s="5"/>
      <c r="P8" s="5"/>
      <c r="Q8" s="5"/>
      <c r="R8" s="5"/>
      <c r="S8" s="5"/>
      <c r="T8" s="5"/>
      <c r="U8" s="5"/>
      <c r="V8" s="5"/>
    </row>
    <row r="9" ht="14.25" customHeight="1">
      <c r="A9" s="9">
        <v>2.1</v>
      </c>
      <c r="B9" s="10" t="s">
        <v>71</v>
      </c>
      <c r="C9" s="10" t="s">
        <v>72</v>
      </c>
      <c r="D9" s="11" t="s">
        <v>73</v>
      </c>
      <c r="E9" s="11" t="s">
        <v>74</v>
      </c>
      <c r="F9" s="11" t="s">
        <v>75</v>
      </c>
      <c r="G9" s="11" t="s">
        <v>76</v>
      </c>
      <c r="H9" s="13" t="s">
        <v>77</v>
      </c>
      <c r="I9" s="11" t="s">
        <v>78</v>
      </c>
      <c r="J9" s="13" t="s">
        <v>79</v>
      </c>
      <c r="K9" s="11"/>
      <c r="L9" s="13">
        <v>772.0</v>
      </c>
      <c r="M9" s="13" t="s">
        <v>80</v>
      </c>
      <c r="N9" s="14" t="s">
        <v>34</v>
      </c>
      <c r="O9" s="5"/>
      <c r="P9" s="5"/>
      <c r="Q9" s="5"/>
      <c r="R9" s="5"/>
      <c r="S9" s="5"/>
      <c r="T9" s="5"/>
      <c r="U9" s="5"/>
      <c r="V9" s="5"/>
    </row>
    <row r="10" ht="14.25" customHeight="1">
      <c r="A10" s="15">
        <f t="shared" ref="A10:A16" si="3">A9+0.1</f>
        <v>2.2</v>
      </c>
      <c r="B10" s="16" t="s">
        <v>71</v>
      </c>
      <c r="C10" s="16" t="s">
        <v>72</v>
      </c>
      <c r="D10" s="2" t="s">
        <v>81</v>
      </c>
      <c r="E10" s="2" t="s">
        <v>82</v>
      </c>
      <c r="F10" s="2" t="s">
        <v>83</v>
      </c>
      <c r="G10" s="2" t="s">
        <v>84</v>
      </c>
      <c r="H10" s="17" t="s">
        <v>85</v>
      </c>
      <c r="I10" s="2" t="s">
        <v>86</v>
      </c>
      <c r="J10" s="17" t="s">
        <v>87</v>
      </c>
      <c r="K10" s="2"/>
      <c r="L10" s="17">
        <f t="shared" ref="L10:L16" si="4">L9+1</f>
        <v>773</v>
      </c>
      <c r="M10" s="17" t="s">
        <v>88</v>
      </c>
      <c r="N10" s="18" t="s">
        <v>34</v>
      </c>
      <c r="O10" s="5"/>
      <c r="P10" s="5"/>
      <c r="Q10" s="5"/>
      <c r="R10" s="5"/>
      <c r="S10" s="5"/>
      <c r="T10" s="5"/>
      <c r="U10" s="5"/>
      <c r="V10" s="5"/>
    </row>
    <row r="11" ht="14.25" customHeight="1">
      <c r="A11" s="15">
        <f t="shared" si="3"/>
        <v>2.3</v>
      </c>
      <c r="B11" s="16" t="s">
        <v>71</v>
      </c>
      <c r="C11" s="16" t="s">
        <v>72</v>
      </c>
      <c r="D11" s="2" t="s">
        <v>89</v>
      </c>
      <c r="E11" s="2" t="s">
        <v>90</v>
      </c>
      <c r="F11" s="2" t="s">
        <v>91</v>
      </c>
      <c r="G11" s="2" t="s">
        <v>92</v>
      </c>
      <c r="H11" s="17" t="s">
        <v>93</v>
      </c>
      <c r="I11" s="2" t="s">
        <v>94</v>
      </c>
      <c r="J11" s="17" t="s">
        <v>95</v>
      </c>
      <c r="K11" s="2"/>
      <c r="L11" s="17">
        <f t="shared" si="4"/>
        <v>774</v>
      </c>
      <c r="M11" s="17"/>
      <c r="N11" s="18" t="s">
        <v>34</v>
      </c>
      <c r="O11" s="5"/>
      <c r="P11" s="5"/>
      <c r="Q11" s="5"/>
      <c r="R11" s="5"/>
      <c r="S11" s="5"/>
      <c r="T11" s="5"/>
      <c r="U11" s="5"/>
      <c r="V11" s="5"/>
    </row>
    <row r="12" ht="14.25" customHeight="1">
      <c r="A12" s="15">
        <f t="shared" si="3"/>
        <v>2.4</v>
      </c>
      <c r="B12" s="16" t="s">
        <v>71</v>
      </c>
      <c r="C12" s="16" t="s">
        <v>72</v>
      </c>
      <c r="D12" s="2" t="s">
        <v>96</v>
      </c>
      <c r="E12" s="2" t="s">
        <v>97</v>
      </c>
      <c r="F12" s="2" t="s">
        <v>98</v>
      </c>
      <c r="G12" s="2" t="s">
        <v>99</v>
      </c>
      <c r="H12" s="17" t="s">
        <v>100</v>
      </c>
      <c r="I12" s="2" t="s">
        <v>101</v>
      </c>
      <c r="J12" s="17" t="s">
        <v>102</v>
      </c>
      <c r="K12" s="2"/>
      <c r="L12" s="17">
        <f t="shared" si="4"/>
        <v>775</v>
      </c>
      <c r="M12" s="17"/>
      <c r="N12" s="18" t="s">
        <v>34</v>
      </c>
      <c r="O12" s="5"/>
      <c r="P12" s="5"/>
      <c r="Q12" s="5"/>
      <c r="R12" s="5"/>
      <c r="S12" s="5"/>
      <c r="T12" s="5"/>
      <c r="U12" s="5"/>
      <c r="V12" s="5"/>
    </row>
    <row r="13" ht="14.25" customHeight="1">
      <c r="A13" s="15">
        <f t="shared" si="3"/>
        <v>2.5</v>
      </c>
      <c r="B13" s="16" t="s">
        <v>71</v>
      </c>
      <c r="C13" s="16" t="s">
        <v>72</v>
      </c>
      <c r="D13" s="2" t="s">
        <v>103</v>
      </c>
      <c r="E13" s="2" t="s">
        <v>104</v>
      </c>
      <c r="F13" s="2" t="s">
        <v>105</v>
      </c>
      <c r="G13" s="2" t="s">
        <v>106</v>
      </c>
      <c r="H13" s="17" t="s">
        <v>107</v>
      </c>
      <c r="I13" s="2" t="s">
        <v>108</v>
      </c>
      <c r="J13" s="17" t="s">
        <v>109</v>
      </c>
      <c r="K13" s="2"/>
      <c r="L13" s="17">
        <f t="shared" si="4"/>
        <v>776</v>
      </c>
      <c r="M13" s="17"/>
      <c r="N13" s="18" t="s">
        <v>34</v>
      </c>
      <c r="O13" s="5"/>
      <c r="P13" s="5"/>
      <c r="Q13" s="5"/>
      <c r="R13" s="5"/>
      <c r="S13" s="5"/>
      <c r="T13" s="5"/>
      <c r="U13" s="5"/>
      <c r="V13" s="5"/>
    </row>
    <row r="14" ht="14.25" customHeight="1">
      <c r="A14" s="15">
        <f t="shared" si="3"/>
        <v>2.6</v>
      </c>
      <c r="B14" s="16" t="s">
        <v>71</v>
      </c>
      <c r="C14" s="16" t="s">
        <v>72</v>
      </c>
      <c r="D14" s="2" t="s">
        <v>110</v>
      </c>
      <c r="E14" s="2" t="s">
        <v>111</v>
      </c>
      <c r="F14" s="2" t="s">
        <v>112</v>
      </c>
      <c r="G14" s="2" t="s">
        <v>113</v>
      </c>
      <c r="H14" s="17" t="s">
        <v>114</v>
      </c>
      <c r="I14" s="2" t="s">
        <v>115</v>
      </c>
      <c r="J14" s="17" t="s">
        <v>116</v>
      </c>
      <c r="K14" s="2"/>
      <c r="L14" s="17">
        <f t="shared" si="4"/>
        <v>777</v>
      </c>
      <c r="M14" s="17"/>
      <c r="N14" s="18" t="s">
        <v>34</v>
      </c>
      <c r="O14" s="5"/>
      <c r="P14" s="5"/>
      <c r="Q14" s="5"/>
      <c r="R14" s="5"/>
      <c r="S14" s="5"/>
      <c r="T14" s="5"/>
      <c r="U14" s="5"/>
      <c r="V14" s="5"/>
    </row>
    <row r="15" ht="14.25" customHeight="1">
      <c r="A15" s="15">
        <f t="shared" si="3"/>
        <v>2.7</v>
      </c>
      <c r="B15" s="16" t="s">
        <v>71</v>
      </c>
      <c r="C15" s="16" t="s">
        <v>72</v>
      </c>
      <c r="D15" s="2" t="s">
        <v>117</v>
      </c>
      <c r="E15" s="2" t="s">
        <v>118</v>
      </c>
      <c r="F15" s="2" t="s">
        <v>119</v>
      </c>
      <c r="G15" s="2" t="s">
        <v>120</v>
      </c>
      <c r="H15" s="17" t="s">
        <v>121</v>
      </c>
      <c r="I15" s="2" t="s">
        <v>122</v>
      </c>
      <c r="J15" s="17" t="s">
        <v>123</v>
      </c>
      <c r="K15" s="2"/>
      <c r="L15" s="17">
        <f t="shared" si="4"/>
        <v>778</v>
      </c>
      <c r="M15" s="17" t="s">
        <v>124</v>
      </c>
      <c r="N15" s="18" t="s">
        <v>34</v>
      </c>
      <c r="O15" s="5"/>
      <c r="P15" s="5"/>
      <c r="Q15" s="5"/>
      <c r="R15" s="5"/>
      <c r="S15" s="5"/>
      <c r="T15" s="5"/>
      <c r="U15" s="5"/>
      <c r="V15" s="5"/>
    </row>
    <row r="16" ht="14.25" customHeight="1">
      <c r="A16" s="20">
        <f t="shared" si="3"/>
        <v>2.8</v>
      </c>
      <c r="B16" s="21" t="s">
        <v>71</v>
      </c>
      <c r="C16" s="21" t="s">
        <v>72</v>
      </c>
      <c r="D16" s="22" t="s">
        <v>125</v>
      </c>
      <c r="E16" s="22" t="s">
        <v>126</v>
      </c>
      <c r="F16" s="22" t="s">
        <v>127</v>
      </c>
      <c r="G16" s="22" t="s">
        <v>128</v>
      </c>
      <c r="H16" s="23" t="s">
        <v>129</v>
      </c>
      <c r="I16" s="22" t="s">
        <v>130</v>
      </c>
      <c r="J16" s="23" t="s">
        <v>131</v>
      </c>
      <c r="K16" s="22"/>
      <c r="L16" s="23">
        <f t="shared" si="4"/>
        <v>779</v>
      </c>
      <c r="M16" s="23"/>
      <c r="N16" s="24" t="s">
        <v>34</v>
      </c>
      <c r="O16" s="5"/>
      <c r="P16" s="5"/>
      <c r="Q16" s="5"/>
      <c r="R16" s="5"/>
      <c r="S16" s="5"/>
      <c r="T16" s="5"/>
      <c r="U16" s="5"/>
      <c r="V16" s="5"/>
    </row>
    <row r="17" ht="14.25" customHeight="1">
      <c r="A17" s="9">
        <v>3.1</v>
      </c>
      <c r="B17" s="10" t="s">
        <v>132</v>
      </c>
      <c r="C17" s="10" t="s">
        <v>133</v>
      </c>
      <c r="D17" s="11" t="s">
        <v>134</v>
      </c>
      <c r="E17" s="11" t="s">
        <v>135</v>
      </c>
      <c r="F17" s="11" t="s">
        <v>136</v>
      </c>
      <c r="G17" s="11" t="s">
        <v>137</v>
      </c>
      <c r="H17" s="13" t="s">
        <v>138</v>
      </c>
      <c r="I17" s="11" t="s">
        <v>139</v>
      </c>
      <c r="J17" s="11" t="s">
        <v>140</v>
      </c>
      <c r="K17" s="11"/>
      <c r="L17" s="13">
        <v>780.0</v>
      </c>
      <c r="M17" s="13" t="s">
        <v>141</v>
      </c>
      <c r="N17" s="25" t="s">
        <v>142</v>
      </c>
      <c r="O17" s="5"/>
      <c r="P17" s="5"/>
      <c r="Q17" s="5"/>
      <c r="R17" s="5"/>
      <c r="S17" s="5"/>
      <c r="T17" s="5"/>
      <c r="U17" s="5"/>
      <c r="V17" s="5"/>
    </row>
    <row r="18" ht="14.25" customHeight="1">
      <c r="A18" s="15">
        <f t="shared" ref="A18:A24" si="5">A17+0.1</f>
        <v>3.2</v>
      </c>
      <c r="B18" s="16" t="s">
        <v>132</v>
      </c>
      <c r="C18" s="16" t="s">
        <v>133</v>
      </c>
      <c r="D18" s="2" t="s">
        <v>143</v>
      </c>
      <c r="E18" s="2" t="s">
        <v>144</v>
      </c>
      <c r="F18" s="2" t="s">
        <v>145</v>
      </c>
      <c r="G18" s="2" t="s">
        <v>146</v>
      </c>
      <c r="H18" s="17" t="s">
        <v>147</v>
      </c>
      <c r="I18" s="2" t="s">
        <v>148</v>
      </c>
      <c r="J18" s="2" t="s">
        <v>149</v>
      </c>
      <c r="K18" s="2"/>
      <c r="L18" s="17">
        <f t="shared" ref="L18:L24" si="6">L17+1</f>
        <v>781</v>
      </c>
      <c r="M18" s="17" t="s">
        <v>150</v>
      </c>
      <c r="N18" s="26" t="s">
        <v>151</v>
      </c>
      <c r="O18" s="5"/>
      <c r="P18" s="5"/>
      <c r="Q18" s="5"/>
      <c r="R18" s="5"/>
      <c r="S18" s="5"/>
      <c r="T18" s="5"/>
      <c r="U18" s="5"/>
      <c r="V18" s="5"/>
    </row>
    <row r="19" ht="14.25" customHeight="1">
      <c r="A19" s="15">
        <f t="shared" si="5"/>
        <v>3.3</v>
      </c>
      <c r="B19" s="16" t="s">
        <v>132</v>
      </c>
      <c r="C19" s="16" t="s">
        <v>133</v>
      </c>
      <c r="D19" s="2" t="s">
        <v>152</v>
      </c>
      <c r="E19" s="2" t="s">
        <v>153</v>
      </c>
      <c r="F19" s="2" t="s">
        <v>154</v>
      </c>
      <c r="G19" s="2" t="s">
        <v>155</v>
      </c>
      <c r="H19" s="17" t="s">
        <v>156</v>
      </c>
      <c r="I19" s="2" t="s">
        <v>157</v>
      </c>
      <c r="J19" s="2" t="s">
        <v>158</v>
      </c>
      <c r="K19" s="2"/>
      <c r="L19" s="17">
        <f t="shared" si="6"/>
        <v>782</v>
      </c>
      <c r="M19" s="17"/>
      <c r="N19" s="26" t="s">
        <v>159</v>
      </c>
      <c r="O19" s="5"/>
      <c r="P19" s="5"/>
      <c r="Q19" s="5"/>
      <c r="R19" s="5"/>
      <c r="S19" s="5"/>
      <c r="T19" s="5"/>
      <c r="U19" s="5"/>
      <c r="V19" s="5"/>
    </row>
    <row r="20" ht="14.25" customHeight="1">
      <c r="A20" s="15">
        <f t="shared" si="5"/>
        <v>3.4</v>
      </c>
      <c r="B20" s="16" t="s">
        <v>132</v>
      </c>
      <c r="C20" s="16" t="s">
        <v>133</v>
      </c>
      <c r="D20" s="2" t="s">
        <v>160</v>
      </c>
      <c r="E20" s="2" t="s">
        <v>161</v>
      </c>
      <c r="F20" s="2" t="s">
        <v>162</v>
      </c>
      <c r="G20" s="2" t="s">
        <v>163</v>
      </c>
      <c r="H20" s="17" t="s">
        <v>164</v>
      </c>
      <c r="I20" s="2" t="s">
        <v>165</v>
      </c>
      <c r="J20" s="2" t="s">
        <v>166</v>
      </c>
      <c r="K20" s="2"/>
      <c r="L20" s="17">
        <f t="shared" si="6"/>
        <v>783</v>
      </c>
      <c r="M20" s="17"/>
      <c r="N20" s="26" t="s">
        <v>167</v>
      </c>
      <c r="O20" s="5"/>
      <c r="P20" s="5"/>
      <c r="Q20" s="5"/>
      <c r="R20" s="5"/>
      <c r="S20" s="5"/>
      <c r="T20" s="5"/>
      <c r="U20" s="5"/>
      <c r="V20" s="5"/>
    </row>
    <row r="21" ht="14.25" customHeight="1">
      <c r="A21" s="15">
        <f t="shared" si="5"/>
        <v>3.5</v>
      </c>
      <c r="B21" s="16" t="s">
        <v>132</v>
      </c>
      <c r="C21" s="16" t="s">
        <v>133</v>
      </c>
      <c r="D21" s="2" t="s">
        <v>168</v>
      </c>
      <c r="E21" s="2" t="s">
        <v>169</v>
      </c>
      <c r="F21" s="2" t="s">
        <v>170</v>
      </c>
      <c r="G21" s="2" t="s">
        <v>171</v>
      </c>
      <c r="H21" s="17" t="s">
        <v>172</v>
      </c>
      <c r="I21" s="2" t="s">
        <v>173</v>
      </c>
      <c r="J21" s="2" t="s">
        <v>174</v>
      </c>
      <c r="K21" s="2"/>
      <c r="L21" s="17">
        <f t="shared" si="6"/>
        <v>784</v>
      </c>
      <c r="M21" s="17" t="s">
        <v>175</v>
      </c>
      <c r="N21" s="26" t="s">
        <v>151</v>
      </c>
      <c r="O21" s="5"/>
      <c r="P21" s="5"/>
      <c r="Q21" s="5"/>
      <c r="R21" s="5"/>
      <c r="S21" s="5"/>
      <c r="T21" s="5"/>
      <c r="U21" s="5"/>
      <c r="V21" s="5"/>
    </row>
    <row r="22" ht="14.25" customHeight="1">
      <c r="A22" s="15">
        <f t="shared" si="5"/>
        <v>3.6</v>
      </c>
      <c r="B22" s="16" t="s">
        <v>132</v>
      </c>
      <c r="C22" s="16" t="s">
        <v>133</v>
      </c>
      <c r="D22" s="2" t="s">
        <v>176</v>
      </c>
      <c r="E22" s="2" t="s">
        <v>177</v>
      </c>
      <c r="F22" s="2" t="s">
        <v>178</v>
      </c>
      <c r="G22" s="2" t="s">
        <v>179</v>
      </c>
      <c r="H22" s="17" t="s">
        <v>180</v>
      </c>
      <c r="I22" s="2" t="s">
        <v>181</v>
      </c>
      <c r="J22" s="2" t="s">
        <v>182</v>
      </c>
      <c r="K22" s="2"/>
      <c r="L22" s="17">
        <f t="shared" si="6"/>
        <v>785</v>
      </c>
      <c r="M22" s="17"/>
      <c r="N22" s="26" t="s">
        <v>151</v>
      </c>
      <c r="O22" s="5"/>
      <c r="P22" s="5"/>
      <c r="Q22" s="5"/>
      <c r="R22" s="5"/>
      <c r="S22" s="5"/>
      <c r="T22" s="5"/>
      <c r="U22" s="5"/>
      <c r="V22" s="5"/>
    </row>
    <row r="23" ht="14.25" customHeight="1">
      <c r="A23" s="15">
        <f t="shared" si="5"/>
        <v>3.7</v>
      </c>
      <c r="B23" s="16" t="s">
        <v>132</v>
      </c>
      <c r="C23" s="16" t="s">
        <v>133</v>
      </c>
      <c r="D23" s="2" t="s">
        <v>183</v>
      </c>
      <c r="E23" s="2" t="s">
        <v>184</v>
      </c>
      <c r="F23" s="2" t="s">
        <v>185</v>
      </c>
      <c r="G23" s="2" t="s">
        <v>186</v>
      </c>
      <c r="H23" s="17" t="s">
        <v>187</v>
      </c>
      <c r="I23" s="2" t="s">
        <v>188</v>
      </c>
      <c r="J23" s="2" t="s">
        <v>189</v>
      </c>
      <c r="K23" s="2"/>
      <c r="L23" s="17">
        <f t="shared" si="6"/>
        <v>786</v>
      </c>
      <c r="M23" s="17"/>
      <c r="N23" s="26" t="s">
        <v>190</v>
      </c>
      <c r="O23" s="5"/>
      <c r="P23" s="5"/>
      <c r="Q23" s="5"/>
      <c r="R23" s="5"/>
      <c r="S23" s="5"/>
      <c r="T23" s="5"/>
      <c r="U23" s="5"/>
      <c r="V23" s="5"/>
    </row>
    <row r="24" ht="14.25" customHeight="1">
      <c r="A24" s="20">
        <f t="shared" si="5"/>
        <v>3.8</v>
      </c>
      <c r="B24" s="22" t="s">
        <v>132</v>
      </c>
      <c r="C24" s="22" t="s">
        <v>133</v>
      </c>
      <c r="D24" s="22" t="s">
        <v>191</v>
      </c>
      <c r="E24" s="22" t="s">
        <v>192</v>
      </c>
      <c r="F24" s="22" t="s">
        <v>193</v>
      </c>
      <c r="G24" s="22" t="s">
        <v>194</v>
      </c>
      <c r="H24" s="23" t="s">
        <v>195</v>
      </c>
      <c r="I24" s="22" t="s">
        <v>196</v>
      </c>
      <c r="J24" s="22" t="s">
        <v>197</v>
      </c>
      <c r="K24" s="22"/>
      <c r="L24" s="23">
        <f t="shared" si="6"/>
        <v>787</v>
      </c>
      <c r="M24" s="23"/>
      <c r="N24" s="24" t="s">
        <v>142</v>
      </c>
      <c r="O24" s="5"/>
      <c r="P24" s="5"/>
      <c r="Q24" s="5"/>
      <c r="R24" s="5"/>
      <c r="S24" s="5"/>
      <c r="T24" s="5"/>
      <c r="U24" s="5"/>
      <c r="V24" s="5"/>
    </row>
    <row r="25" ht="14.25" customHeight="1">
      <c r="A25" s="27">
        <v>4.1</v>
      </c>
      <c r="B25" s="2" t="s">
        <v>198</v>
      </c>
      <c r="C25" s="2" t="s">
        <v>199</v>
      </c>
      <c r="D25" s="10" t="s">
        <v>200</v>
      </c>
      <c r="E25" s="11" t="s">
        <v>201</v>
      </c>
      <c r="F25" s="11" t="s">
        <v>202</v>
      </c>
      <c r="G25" s="11" t="s">
        <v>203</v>
      </c>
      <c r="H25" s="13" t="s">
        <v>204</v>
      </c>
      <c r="I25" s="11" t="s">
        <v>205</v>
      </c>
      <c r="J25" s="11" t="s">
        <v>206</v>
      </c>
      <c r="K25" s="11"/>
      <c r="L25" s="13">
        <v>788.0</v>
      </c>
      <c r="M25" s="13" t="s">
        <v>207</v>
      </c>
      <c r="N25" s="25" t="s">
        <v>151</v>
      </c>
      <c r="O25" s="5"/>
      <c r="P25" s="5"/>
      <c r="Q25" s="5"/>
      <c r="R25" s="5"/>
      <c r="S25" s="5"/>
      <c r="T25" s="5"/>
      <c r="U25" s="5"/>
      <c r="V25" s="5"/>
    </row>
    <row r="26" ht="14.25" customHeight="1">
      <c r="A26" s="28">
        <f t="shared" ref="A26:A32" si="7">A25+0.1</f>
        <v>4.2</v>
      </c>
      <c r="B26" s="2" t="s">
        <v>198</v>
      </c>
      <c r="C26" s="2" t="s">
        <v>199</v>
      </c>
      <c r="D26" s="16" t="s">
        <v>208</v>
      </c>
      <c r="E26" s="2" t="s">
        <v>209</v>
      </c>
      <c r="F26" s="2" t="s">
        <v>210</v>
      </c>
      <c r="G26" s="2" t="s">
        <v>211</v>
      </c>
      <c r="H26" s="17" t="s">
        <v>212</v>
      </c>
      <c r="I26" s="2" t="s">
        <v>213</v>
      </c>
      <c r="J26" s="2" t="s">
        <v>214</v>
      </c>
      <c r="K26" s="2"/>
      <c r="L26" s="17">
        <f t="shared" ref="L26:L32" si="8">L25+1</f>
        <v>789</v>
      </c>
      <c r="M26" s="17" t="s">
        <v>215</v>
      </c>
      <c r="N26" s="26" t="s">
        <v>151</v>
      </c>
      <c r="O26" s="5"/>
      <c r="P26" s="5"/>
      <c r="Q26" s="5"/>
      <c r="R26" s="5"/>
      <c r="S26" s="5"/>
      <c r="T26" s="5"/>
      <c r="U26" s="5"/>
      <c r="V26" s="5"/>
    </row>
    <row r="27" ht="14.25" customHeight="1">
      <c r="A27" s="28">
        <f t="shared" si="7"/>
        <v>4.3</v>
      </c>
      <c r="B27" s="2" t="s">
        <v>198</v>
      </c>
      <c r="C27" s="2" t="s">
        <v>199</v>
      </c>
      <c r="D27" s="16" t="s">
        <v>216</v>
      </c>
      <c r="E27" s="2" t="s">
        <v>217</v>
      </c>
      <c r="F27" s="2" t="s">
        <v>218</v>
      </c>
      <c r="G27" s="2" t="s">
        <v>219</v>
      </c>
      <c r="H27" s="17" t="s">
        <v>220</v>
      </c>
      <c r="I27" s="2" t="s">
        <v>221</v>
      </c>
      <c r="J27" s="2" t="s">
        <v>222</v>
      </c>
      <c r="K27" s="2"/>
      <c r="L27" s="17">
        <f t="shared" si="8"/>
        <v>790</v>
      </c>
      <c r="M27" s="17" t="s">
        <v>223</v>
      </c>
      <c r="N27" s="26" t="s">
        <v>151</v>
      </c>
      <c r="O27" s="5"/>
      <c r="P27" s="5"/>
      <c r="Q27" s="5"/>
      <c r="R27" s="5"/>
      <c r="S27" s="5"/>
      <c r="T27" s="5"/>
      <c r="U27" s="5"/>
      <c r="V27" s="5"/>
    </row>
    <row r="28" ht="14.25" customHeight="1">
      <c r="A28" s="28">
        <f t="shared" si="7"/>
        <v>4.4</v>
      </c>
      <c r="B28" s="2" t="s">
        <v>198</v>
      </c>
      <c r="C28" s="2" t="s">
        <v>199</v>
      </c>
      <c r="D28" s="16" t="s">
        <v>224</v>
      </c>
      <c r="E28" s="2" t="s">
        <v>225</v>
      </c>
      <c r="F28" s="2" t="s">
        <v>226</v>
      </c>
      <c r="G28" s="2" t="s">
        <v>227</v>
      </c>
      <c r="H28" s="17" t="s">
        <v>228</v>
      </c>
      <c r="I28" s="2" t="s">
        <v>229</v>
      </c>
      <c r="J28" s="2" t="s">
        <v>230</v>
      </c>
      <c r="K28" s="2"/>
      <c r="L28" s="17">
        <f t="shared" si="8"/>
        <v>791</v>
      </c>
      <c r="M28" s="17"/>
      <c r="N28" s="26"/>
      <c r="O28" s="5"/>
      <c r="P28" s="5"/>
      <c r="Q28" s="5"/>
      <c r="R28" s="5"/>
      <c r="S28" s="5"/>
      <c r="T28" s="5"/>
      <c r="U28" s="5"/>
      <c r="V28" s="5"/>
    </row>
    <row r="29" ht="14.25" customHeight="1">
      <c r="A29" s="28">
        <f t="shared" si="7"/>
        <v>4.5</v>
      </c>
      <c r="B29" s="2" t="s">
        <v>198</v>
      </c>
      <c r="C29" s="2" t="s">
        <v>199</v>
      </c>
      <c r="D29" s="16" t="s">
        <v>231</v>
      </c>
      <c r="E29" s="2" t="s">
        <v>232</v>
      </c>
      <c r="F29" s="2" t="s">
        <v>233</v>
      </c>
      <c r="G29" s="2" t="s">
        <v>234</v>
      </c>
      <c r="H29" s="17" t="s">
        <v>235</v>
      </c>
      <c r="I29" s="2" t="s">
        <v>236</v>
      </c>
      <c r="J29" s="2" t="s">
        <v>237</v>
      </c>
      <c r="K29" s="2"/>
      <c r="L29" s="17">
        <f t="shared" si="8"/>
        <v>792</v>
      </c>
      <c r="M29" s="17"/>
      <c r="N29" s="26"/>
      <c r="O29" s="5"/>
      <c r="P29" s="5"/>
      <c r="Q29" s="5"/>
      <c r="R29" s="5"/>
      <c r="S29" s="5"/>
      <c r="T29" s="5"/>
      <c r="U29" s="5"/>
      <c r="V29" s="5"/>
    </row>
    <row r="30" ht="14.25" customHeight="1">
      <c r="A30" s="28">
        <f t="shared" si="7"/>
        <v>4.6</v>
      </c>
      <c r="B30" s="2" t="s">
        <v>198</v>
      </c>
      <c r="C30" s="2" t="s">
        <v>199</v>
      </c>
      <c r="D30" s="16" t="s">
        <v>238</v>
      </c>
      <c r="E30" s="2" t="s">
        <v>239</v>
      </c>
      <c r="F30" s="2" t="s">
        <v>240</v>
      </c>
      <c r="G30" s="2" t="s">
        <v>241</v>
      </c>
      <c r="H30" s="17" t="s">
        <v>242</v>
      </c>
      <c r="I30" s="2" t="s">
        <v>243</v>
      </c>
      <c r="J30" s="2" t="s">
        <v>244</v>
      </c>
      <c r="K30" s="2"/>
      <c r="L30" s="17">
        <f t="shared" si="8"/>
        <v>793</v>
      </c>
      <c r="M30" s="17"/>
      <c r="N30" s="26"/>
      <c r="O30" s="5"/>
      <c r="P30" s="5"/>
      <c r="Q30" s="5"/>
      <c r="R30" s="5"/>
      <c r="S30" s="5"/>
      <c r="T30" s="5"/>
      <c r="U30" s="5"/>
      <c r="V30" s="5"/>
    </row>
    <row r="31" ht="14.25" customHeight="1">
      <c r="A31" s="28">
        <f t="shared" si="7"/>
        <v>4.7</v>
      </c>
      <c r="B31" s="2" t="s">
        <v>198</v>
      </c>
      <c r="C31" s="2" t="s">
        <v>199</v>
      </c>
      <c r="D31" s="16" t="s">
        <v>245</v>
      </c>
      <c r="E31" s="2" t="s">
        <v>246</v>
      </c>
      <c r="F31" s="2" t="s">
        <v>247</v>
      </c>
      <c r="G31" s="2" t="s">
        <v>248</v>
      </c>
      <c r="H31" s="17" t="s">
        <v>249</v>
      </c>
      <c r="I31" s="2" t="s">
        <v>250</v>
      </c>
      <c r="J31" s="2" t="s">
        <v>251</v>
      </c>
      <c r="K31" s="2"/>
      <c r="L31" s="17">
        <f t="shared" si="8"/>
        <v>794</v>
      </c>
      <c r="M31" s="17"/>
      <c r="N31" s="26"/>
      <c r="O31" s="5"/>
      <c r="P31" s="5"/>
      <c r="Q31" s="5"/>
      <c r="R31" s="5"/>
      <c r="S31" s="5"/>
      <c r="T31" s="5"/>
      <c r="U31" s="5"/>
      <c r="V31" s="5"/>
    </row>
    <row r="32" ht="14.25" customHeight="1">
      <c r="A32" s="29">
        <f t="shared" si="7"/>
        <v>4.8</v>
      </c>
      <c r="B32" s="21" t="s">
        <v>198</v>
      </c>
      <c r="C32" s="21" t="s">
        <v>199</v>
      </c>
      <c r="D32" s="21" t="s">
        <v>252</v>
      </c>
      <c r="E32" s="22" t="s">
        <v>253</v>
      </c>
      <c r="F32" s="22" t="s">
        <v>254</v>
      </c>
      <c r="G32" s="22" t="s">
        <v>255</v>
      </c>
      <c r="H32" s="23" t="s">
        <v>256</v>
      </c>
      <c r="I32" s="22" t="s">
        <v>257</v>
      </c>
      <c r="J32" s="22" t="s">
        <v>258</v>
      </c>
      <c r="K32" s="22"/>
      <c r="L32" s="23">
        <f t="shared" si="8"/>
        <v>795</v>
      </c>
      <c r="M32" s="23"/>
      <c r="N32" s="24"/>
      <c r="O32" s="5"/>
      <c r="P32" s="5"/>
      <c r="Q32" s="5"/>
      <c r="R32" s="5"/>
      <c r="S32" s="5"/>
      <c r="T32" s="5"/>
      <c r="U32" s="5"/>
      <c r="V32" s="5"/>
    </row>
    <row r="33" ht="14.25" customHeight="1">
      <c r="A33" s="9">
        <v>5.1</v>
      </c>
      <c r="B33" s="10" t="s">
        <v>259</v>
      </c>
      <c r="C33" s="10" t="s">
        <v>260</v>
      </c>
      <c r="D33" s="11" t="s">
        <v>261</v>
      </c>
      <c r="E33" s="11" t="s">
        <v>262</v>
      </c>
      <c r="F33" s="11" t="s">
        <v>263</v>
      </c>
      <c r="G33" s="11" t="s">
        <v>264</v>
      </c>
      <c r="H33" s="13" t="s">
        <v>265</v>
      </c>
      <c r="I33" s="11" t="s">
        <v>266</v>
      </c>
      <c r="J33" s="11" t="s">
        <v>267</v>
      </c>
      <c r="K33" s="11"/>
      <c r="L33" s="13">
        <v>796.0</v>
      </c>
      <c r="M33" s="13" t="s">
        <v>268</v>
      </c>
      <c r="N33" s="25" t="s">
        <v>151</v>
      </c>
      <c r="O33" s="5"/>
      <c r="P33" s="5"/>
      <c r="Q33" s="5"/>
      <c r="R33" s="5"/>
      <c r="S33" s="5"/>
      <c r="T33" s="5"/>
      <c r="U33" s="5"/>
      <c r="V33" s="5"/>
    </row>
    <row r="34" ht="14.25" customHeight="1">
      <c r="A34" s="9">
        <f t="shared" ref="A34:A40" si="9">A33+0.1</f>
        <v>5.2</v>
      </c>
      <c r="B34" s="10" t="s">
        <v>259</v>
      </c>
      <c r="C34" s="10" t="s">
        <v>260</v>
      </c>
      <c r="D34" s="2" t="s">
        <v>269</v>
      </c>
      <c r="E34" s="2" t="s">
        <v>270</v>
      </c>
      <c r="F34" s="2" t="s">
        <v>271</v>
      </c>
      <c r="G34" s="2" t="s">
        <v>272</v>
      </c>
      <c r="H34" s="13" t="s">
        <v>273</v>
      </c>
      <c r="I34" s="2" t="s">
        <v>274</v>
      </c>
      <c r="J34" s="11" t="s">
        <v>275</v>
      </c>
      <c r="K34" s="2"/>
      <c r="L34" s="17">
        <f t="shared" ref="L34:L40" si="10">L33+1</f>
        <v>797</v>
      </c>
      <c r="M34" s="13" t="s">
        <v>276</v>
      </c>
      <c r="N34" s="26" t="s">
        <v>151</v>
      </c>
      <c r="O34" s="5"/>
      <c r="P34" s="5"/>
      <c r="Q34" s="5"/>
      <c r="R34" s="5"/>
      <c r="S34" s="5"/>
      <c r="T34" s="5"/>
      <c r="U34" s="5"/>
      <c r="V34" s="5"/>
    </row>
    <row r="35" ht="14.25" customHeight="1">
      <c r="A35" s="9">
        <f t="shared" si="9"/>
        <v>5.3</v>
      </c>
      <c r="B35" s="10" t="s">
        <v>259</v>
      </c>
      <c r="C35" s="10" t="s">
        <v>260</v>
      </c>
      <c r="D35" s="2" t="s">
        <v>277</v>
      </c>
      <c r="E35" s="5" t="s">
        <v>278</v>
      </c>
      <c r="F35" s="2" t="s">
        <v>279</v>
      </c>
      <c r="G35" s="2" t="s">
        <v>280</v>
      </c>
      <c r="H35" s="5" t="s">
        <v>281</v>
      </c>
      <c r="I35" s="5" t="s">
        <v>282</v>
      </c>
      <c r="J35" s="5" t="s">
        <v>283</v>
      </c>
      <c r="K35" s="2"/>
      <c r="L35" s="17">
        <f t="shared" si="10"/>
        <v>798</v>
      </c>
      <c r="M35" s="5" t="s">
        <v>284</v>
      </c>
      <c r="N35" s="26" t="s">
        <v>151</v>
      </c>
      <c r="O35" s="5"/>
      <c r="P35" s="5"/>
      <c r="Q35" s="5"/>
      <c r="R35" s="5"/>
      <c r="S35" s="5"/>
      <c r="T35" s="5"/>
      <c r="U35" s="5"/>
      <c r="V35" s="5"/>
    </row>
    <row r="36" ht="14.25" customHeight="1">
      <c r="A36" s="9">
        <f t="shared" si="9"/>
        <v>5.4</v>
      </c>
      <c r="B36" s="10" t="s">
        <v>259</v>
      </c>
      <c r="C36" s="10" t="s">
        <v>260</v>
      </c>
      <c r="D36" s="2" t="s">
        <v>285</v>
      </c>
      <c r="E36" s="2" t="s">
        <v>286</v>
      </c>
      <c r="F36" s="2" t="s">
        <v>287</v>
      </c>
      <c r="G36" s="2" t="s">
        <v>288</v>
      </c>
      <c r="H36" s="5" t="s">
        <v>289</v>
      </c>
      <c r="I36" s="2" t="s">
        <v>290</v>
      </c>
      <c r="J36" s="11" t="s">
        <v>291</v>
      </c>
      <c r="K36" s="2"/>
      <c r="L36" s="17">
        <f t="shared" si="10"/>
        <v>799</v>
      </c>
      <c r="M36" s="5"/>
      <c r="N36" s="26" t="s">
        <v>151</v>
      </c>
      <c r="O36" s="5"/>
      <c r="P36" s="5"/>
      <c r="Q36" s="5"/>
      <c r="R36" s="5"/>
      <c r="S36" s="5"/>
      <c r="T36" s="5"/>
      <c r="U36" s="5"/>
      <c r="V36" s="5"/>
    </row>
    <row r="37" ht="14.25" customHeight="1">
      <c r="A37" s="9">
        <f t="shared" si="9"/>
        <v>5.5</v>
      </c>
      <c r="B37" s="10" t="s">
        <v>259</v>
      </c>
      <c r="C37" s="10" t="s">
        <v>260</v>
      </c>
      <c r="D37" s="2" t="s">
        <v>292</v>
      </c>
      <c r="E37" s="2" t="s">
        <v>293</v>
      </c>
      <c r="F37" s="2" t="s">
        <v>294</v>
      </c>
      <c r="G37" s="2" t="s">
        <v>295</v>
      </c>
      <c r="H37" s="13" t="s">
        <v>296</v>
      </c>
      <c r="I37" s="2" t="s">
        <v>297</v>
      </c>
      <c r="J37" s="11" t="s">
        <v>298</v>
      </c>
      <c r="K37" s="2"/>
      <c r="L37" s="17">
        <f t="shared" si="10"/>
        <v>800</v>
      </c>
      <c r="M37" s="13"/>
      <c r="N37" s="26" t="s">
        <v>151</v>
      </c>
      <c r="O37" s="5"/>
      <c r="P37" s="5"/>
      <c r="Q37" s="5"/>
      <c r="R37" s="5"/>
      <c r="S37" s="5"/>
      <c r="T37" s="5"/>
      <c r="U37" s="5"/>
      <c r="V37" s="5"/>
    </row>
    <row r="38" ht="14.25" customHeight="1">
      <c r="A38" s="9">
        <f t="shared" si="9"/>
        <v>5.6</v>
      </c>
      <c r="B38" s="10" t="s">
        <v>259</v>
      </c>
      <c r="C38" s="10" t="s">
        <v>260</v>
      </c>
      <c r="D38" s="2" t="s">
        <v>299</v>
      </c>
      <c r="E38" s="2" t="s">
        <v>300</v>
      </c>
      <c r="F38" s="2" t="s">
        <v>301</v>
      </c>
      <c r="G38" s="2" t="s">
        <v>302</v>
      </c>
      <c r="H38" s="13" t="s">
        <v>303</v>
      </c>
      <c r="I38" s="2" t="s">
        <v>304</v>
      </c>
      <c r="J38" s="11" t="s">
        <v>305</v>
      </c>
      <c r="K38" s="2"/>
      <c r="L38" s="17">
        <f t="shared" si="10"/>
        <v>801</v>
      </c>
      <c r="M38" s="13"/>
      <c r="N38" s="26" t="s">
        <v>151</v>
      </c>
      <c r="O38" s="5"/>
      <c r="P38" s="5"/>
      <c r="Q38" s="5"/>
      <c r="R38" s="5"/>
      <c r="S38" s="5"/>
      <c r="T38" s="5"/>
      <c r="U38" s="5"/>
      <c r="V38" s="5"/>
    </row>
    <row r="39" ht="14.25" customHeight="1">
      <c r="A39" s="9">
        <f t="shared" si="9"/>
        <v>5.7</v>
      </c>
      <c r="B39" s="10" t="s">
        <v>259</v>
      </c>
      <c r="C39" s="10" t="s">
        <v>260</v>
      </c>
      <c r="D39" s="2" t="s">
        <v>306</v>
      </c>
      <c r="E39" s="2" t="s">
        <v>307</v>
      </c>
      <c r="F39" s="2" t="s">
        <v>308</v>
      </c>
      <c r="G39" s="2" t="s">
        <v>309</v>
      </c>
      <c r="H39" s="13" t="s">
        <v>310</v>
      </c>
      <c r="I39" s="2" t="s">
        <v>311</v>
      </c>
      <c r="J39" s="11" t="s">
        <v>312</v>
      </c>
      <c r="K39" s="2"/>
      <c r="L39" s="17">
        <f t="shared" si="10"/>
        <v>802</v>
      </c>
      <c r="M39" s="13"/>
      <c r="N39" s="26" t="s">
        <v>151</v>
      </c>
      <c r="O39" s="5"/>
      <c r="P39" s="5"/>
      <c r="Q39" s="5"/>
      <c r="R39" s="5"/>
      <c r="S39" s="5"/>
      <c r="T39" s="5"/>
      <c r="U39" s="5"/>
      <c r="V39" s="5"/>
    </row>
    <row r="40" ht="14.25" customHeight="1">
      <c r="A40" s="30">
        <f t="shared" si="9"/>
        <v>5.8</v>
      </c>
      <c r="B40" s="31" t="s">
        <v>259</v>
      </c>
      <c r="C40" s="31" t="s">
        <v>260</v>
      </c>
      <c r="D40" s="22" t="s">
        <v>313</v>
      </c>
      <c r="E40" s="22" t="s">
        <v>314</v>
      </c>
      <c r="F40" s="22" t="s">
        <v>315</v>
      </c>
      <c r="G40" s="22" t="s">
        <v>316</v>
      </c>
      <c r="H40" s="32" t="s">
        <v>317</v>
      </c>
      <c r="I40" s="22" t="s">
        <v>318</v>
      </c>
      <c r="J40" s="33" t="s">
        <v>319</v>
      </c>
      <c r="K40" s="22"/>
      <c r="L40" s="23">
        <f t="shared" si="10"/>
        <v>803</v>
      </c>
      <c r="M40" s="32"/>
      <c r="N40" s="24" t="s">
        <v>151</v>
      </c>
      <c r="O40" s="5"/>
      <c r="P40" s="5"/>
      <c r="Q40" s="5"/>
      <c r="R40" s="5"/>
      <c r="S40" s="5"/>
      <c r="T40" s="5"/>
      <c r="U40" s="5"/>
      <c r="V40" s="5"/>
    </row>
    <row r="41" ht="14.25" customHeight="1">
      <c r="A41" s="9">
        <v>6.1</v>
      </c>
      <c r="B41" s="11" t="s">
        <v>320</v>
      </c>
      <c r="C41" s="11" t="s">
        <v>321</v>
      </c>
      <c r="D41" s="11" t="s">
        <v>322</v>
      </c>
      <c r="E41" s="11" t="s">
        <v>323</v>
      </c>
      <c r="F41" s="11" t="s">
        <v>324</v>
      </c>
      <c r="G41" s="11" t="s">
        <v>325</v>
      </c>
      <c r="H41" s="13" t="s">
        <v>326</v>
      </c>
      <c r="I41" s="11" t="s">
        <v>327</v>
      </c>
      <c r="J41" s="11" t="s">
        <v>328</v>
      </c>
      <c r="K41" s="11"/>
      <c r="L41" s="13">
        <v>804.0</v>
      </c>
      <c r="M41" s="13" t="s">
        <v>329</v>
      </c>
      <c r="N41" s="14" t="s">
        <v>34</v>
      </c>
      <c r="O41" s="5"/>
      <c r="P41" s="5"/>
      <c r="Q41" s="5"/>
      <c r="R41" s="5"/>
      <c r="S41" s="5"/>
      <c r="T41" s="5"/>
      <c r="U41" s="5"/>
      <c r="V41" s="5"/>
    </row>
    <row r="42" ht="14.25" customHeight="1">
      <c r="A42" s="9">
        <f t="shared" ref="A42:A49" si="11">A41+0.1</f>
        <v>6.2</v>
      </c>
      <c r="B42" s="11" t="s">
        <v>320</v>
      </c>
      <c r="C42" s="11" t="s">
        <v>321</v>
      </c>
      <c r="D42" s="2" t="s">
        <v>330</v>
      </c>
      <c r="E42" s="2" t="s">
        <v>331</v>
      </c>
      <c r="F42" s="2" t="s">
        <v>332</v>
      </c>
      <c r="G42" s="2" t="s">
        <v>333</v>
      </c>
      <c r="H42" s="17" t="s">
        <v>334</v>
      </c>
      <c r="I42" s="2" t="s">
        <v>335</v>
      </c>
      <c r="J42" s="2" t="s">
        <v>336</v>
      </c>
      <c r="K42" s="2"/>
      <c r="L42" s="17">
        <f t="shared" ref="L42:L50" si="12">L41+1</f>
        <v>805</v>
      </c>
      <c r="M42" s="17" t="s">
        <v>337</v>
      </c>
      <c r="N42" s="18" t="s">
        <v>34</v>
      </c>
      <c r="O42" s="5"/>
      <c r="P42" s="5"/>
      <c r="Q42" s="5"/>
      <c r="R42" s="5"/>
      <c r="S42" s="5"/>
      <c r="T42" s="5"/>
      <c r="U42" s="5"/>
      <c r="V42" s="5"/>
    </row>
    <row r="43" ht="14.25" customHeight="1">
      <c r="A43" s="9">
        <f t="shared" si="11"/>
        <v>6.3</v>
      </c>
      <c r="B43" s="11" t="s">
        <v>320</v>
      </c>
      <c r="C43" s="11" t="s">
        <v>321</v>
      </c>
      <c r="D43" s="2" t="s">
        <v>338</v>
      </c>
      <c r="E43" s="2" t="s">
        <v>339</v>
      </c>
      <c r="F43" s="2" t="s">
        <v>340</v>
      </c>
      <c r="G43" s="2" t="s">
        <v>341</v>
      </c>
      <c r="H43" s="17" t="s">
        <v>342</v>
      </c>
      <c r="I43" s="2" t="s">
        <v>343</v>
      </c>
      <c r="J43" s="2" t="s">
        <v>344</v>
      </c>
      <c r="K43" s="2"/>
      <c r="L43" s="17">
        <f t="shared" si="12"/>
        <v>806</v>
      </c>
      <c r="M43" s="17"/>
      <c r="N43" s="18" t="s">
        <v>34</v>
      </c>
      <c r="O43" s="5"/>
      <c r="P43" s="5"/>
      <c r="Q43" s="5"/>
      <c r="R43" s="5"/>
      <c r="S43" s="5"/>
      <c r="T43" s="5"/>
      <c r="U43" s="5"/>
      <c r="V43" s="5"/>
    </row>
    <row r="44" ht="14.25" customHeight="1">
      <c r="A44" s="9">
        <f t="shared" si="11"/>
        <v>6.4</v>
      </c>
      <c r="B44" s="11" t="s">
        <v>320</v>
      </c>
      <c r="C44" s="11" t="s">
        <v>321</v>
      </c>
      <c r="D44" s="2" t="s">
        <v>345</v>
      </c>
      <c r="E44" s="2" t="s">
        <v>346</v>
      </c>
      <c r="F44" s="2" t="s">
        <v>347</v>
      </c>
      <c r="G44" s="2" t="s">
        <v>348</v>
      </c>
      <c r="H44" s="17" t="s">
        <v>349</v>
      </c>
      <c r="I44" s="2" t="s">
        <v>350</v>
      </c>
      <c r="J44" s="2" t="s">
        <v>351</v>
      </c>
      <c r="K44" s="2"/>
      <c r="L44" s="17">
        <f t="shared" si="12"/>
        <v>807</v>
      </c>
      <c r="M44" s="17"/>
      <c r="N44" s="18" t="s">
        <v>34</v>
      </c>
      <c r="O44" s="5"/>
      <c r="P44" s="5"/>
      <c r="Q44" s="5"/>
      <c r="R44" s="5"/>
      <c r="S44" s="5"/>
      <c r="T44" s="5"/>
      <c r="U44" s="5"/>
      <c r="V44" s="5"/>
    </row>
    <row r="45" ht="14.25" customHeight="1">
      <c r="A45" s="9">
        <f t="shared" si="11"/>
        <v>6.5</v>
      </c>
      <c r="B45" s="11" t="s">
        <v>320</v>
      </c>
      <c r="C45" s="11" t="s">
        <v>321</v>
      </c>
      <c r="D45" s="2" t="s">
        <v>352</v>
      </c>
      <c r="E45" s="2" t="s">
        <v>353</v>
      </c>
      <c r="F45" s="2" t="s">
        <v>354</v>
      </c>
      <c r="G45" s="2" t="s">
        <v>355</v>
      </c>
      <c r="H45" s="17" t="s">
        <v>356</v>
      </c>
      <c r="I45" s="2" t="s">
        <v>357</v>
      </c>
      <c r="J45" s="2" t="s">
        <v>358</v>
      </c>
      <c r="K45" s="2"/>
      <c r="L45" s="17">
        <f t="shared" si="12"/>
        <v>808</v>
      </c>
      <c r="M45" s="17"/>
      <c r="N45" s="18" t="s">
        <v>34</v>
      </c>
      <c r="O45" s="5"/>
      <c r="P45" s="5"/>
      <c r="Q45" s="5"/>
      <c r="R45" s="5"/>
      <c r="S45" s="5"/>
      <c r="T45" s="5"/>
      <c r="U45" s="5"/>
      <c r="V45" s="5"/>
    </row>
    <row r="46" ht="14.25" customHeight="1">
      <c r="A46" s="9">
        <f t="shared" si="11"/>
        <v>6.6</v>
      </c>
      <c r="B46" s="11" t="s">
        <v>320</v>
      </c>
      <c r="C46" s="11" t="s">
        <v>321</v>
      </c>
      <c r="D46" s="2" t="s">
        <v>359</v>
      </c>
      <c r="E46" s="2" t="s">
        <v>360</v>
      </c>
      <c r="F46" s="2" t="s">
        <v>361</v>
      </c>
      <c r="G46" s="2" t="s">
        <v>362</v>
      </c>
      <c r="H46" s="17" t="s">
        <v>363</v>
      </c>
      <c r="I46" s="2" t="s">
        <v>364</v>
      </c>
      <c r="J46" s="2" t="s">
        <v>365</v>
      </c>
      <c r="K46" s="2"/>
      <c r="L46" s="17">
        <f t="shared" si="12"/>
        <v>809</v>
      </c>
      <c r="M46" s="17"/>
      <c r="N46" s="18" t="s">
        <v>34</v>
      </c>
      <c r="O46" s="5"/>
      <c r="P46" s="5"/>
      <c r="Q46" s="5"/>
      <c r="R46" s="5"/>
      <c r="S46" s="5"/>
      <c r="T46" s="5"/>
      <c r="U46" s="5"/>
      <c r="V46" s="5"/>
    </row>
    <row r="47" ht="14.25" customHeight="1">
      <c r="A47" s="9">
        <f t="shared" si="11"/>
        <v>6.7</v>
      </c>
      <c r="B47" s="11" t="s">
        <v>320</v>
      </c>
      <c r="C47" s="11" t="s">
        <v>321</v>
      </c>
      <c r="D47" s="2" t="s">
        <v>366</v>
      </c>
      <c r="E47" s="2" t="s">
        <v>367</v>
      </c>
      <c r="F47" s="2" t="s">
        <v>368</v>
      </c>
      <c r="G47" s="2" t="s">
        <v>369</v>
      </c>
      <c r="H47" s="17" t="s">
        <v>370</v>
      </c>
      <c r="I47" s="2" t="s">
        <v>371</v>
      </c>
      <c r="J47" s="2" t="s">
        <v>372</v>
      </c>
      <c r="K47" s="2"/>
      <c r="L47" s="17">
        <f t="shared" si="12"/>
        <v>810</v>
      </c>
      <c r="M47" s="17"/>
      <c r="N47" s="18" t="s">
        <v>34</v>
      </c>
      <c r="O47" s="5"/>
      <c r="P47" s="5"/>
      <c r="Q47" s="5"/>
      <c r="R47" s="5"/>
      <c r="S47" s="5"/>
      <c r="T47" s="5"/>
      <c r="U47" s="5"/>
      <c r="V47" s="5"/>
    </row>
    <row r="48" ht="14.25" customHeight="1">
      <c r="A48" s="9">
        <f t="shared" si="11"/>
        <v>6.8</v>
      </c>
      <c r="B48" s="11" t="s">
        <v>320</v>
      </c>
      <c r="C48" s="11" t="s">
        <v>321</v>
      </c>
      <c r="D48" s="2" t="s">
        <v>373</v>
      </c>
      <c r="E48" s="2" t="s">
        <v>374</v>
      </c>
      <c r="F48" s="2" t="s">
        <v>375</v>
      </c>
      <c r="G48" s="2" t="s">
        <v>376</v>
      </c>
      <c r="H48" s="17" t="s">
        <v>377</v>
      </c>
      <c r="I48" s="2" t="s">
        <v>378</v>
      </c>
      <c r="J48" s="2" t="s">
        <v>379</v>
      </c>
      <c r="K48" s="2"/>
      <c r="L48" s="17">
        <f t="shared" si="12"/>
        <v>811</v>
      </c>
      <c r="M48" s="17"/>
      <c r="N48" s="18" t="s">
        <v>34</v>
      </c>
      <c r="O48" s="5"/>
      <c r="P48" s="5"/>
      <c r="Q48" s="5"/>
      <c r="R48" s="5"/>
      <c r="S48" s="5"/>
      <c r="T48" s="5"/>
      <c r="U48" s="5"/>
      <c r="V48" s="5"/>
    </row>
    <row r="49" ht="14.25" customHeight="1">
      <c r="A49" s="9">
        <f t="shared" si="11"/>
        <v>6.9</v>
      </c>
      <c r="B49" s="11" t="s">
        <v>320</v>
      </c>
      <c r="C49" s="11" t="s">
        <v>321</v>
      </c>
      <c r="D49" s="2" t="s">
        <v>380</v>
      </c>
      <c r="E49" s="2" t="s">
        <v>381</v>
      </c>
      <c r="F49" s="2" t="s">
        <v>382</v>
      </c>
      <c r="G49" s="2" t="s">
        <v>383</v>
      </c>
      <c r="H49" s="17" t="s">
        <v>384</v>
      </c>
      <c r="I49" s="2" t="s">
        <v>385</v>
      </c>
      <c r="J49" s="2" t="s">
        <v>386</v>
      </c>
      <c r="K49" s="2"/>
      <c r="L49" s="17">
        <f t="shared" si="12"/>
        <v>812</v>
      </c>
      <c r="M49" s="17" t="s">
        <v>387</v>
      </c>
      <c r="N49" s="18" t="s">
        <v>34</v>
      </c>
      <c r="O49" s="5"/>
      <c r="P49" s="5"/>
      <c r="Q49" s="5"/>
      <c r="R49" s="5"/>
      <c r="S49" s="5"/>
      <c r="T49" s="5"/>
      <c r="U49" s="5"/>
      <c r="V49" s="5"/>
    </row>
    <row r="50" ht="14.25" customHeight="1">
      <c r="A50" s="30" t="s">
        <v>388</v>
      </c>
      <c r="B50" s="33" t="s">
        <v>320</v>
      </c>
      <c r="C50" s="33" t="s">
        <v>321</v>
      </c>
      <c r="D50" s="22" t="s">
        <v>389</v>
      </c>
      <c r="E50" s="22" t="s">
        <v>390</v>
      </c>
      <c r="F50" s="22" t="s">
        <v>391</v>
      </c>
      <c r="G50" s="22" t="s">
        <v>392</v>
      </c>
      <c r="H50" s="23" t="s">
        <v>393</v>
      </c>
      <c r="I50" s="22" t="s">
        <v>394</v>
      </c>
      <c r="J50" s="22" t="s">
        <v>395</v>
      </c>
      <c r="K50" s="22"/>
      <c r="L50" s="23">
        <f t="shared" si="12"/>
        <v>813</v>
      </c>
      <c r="M50" s="23"/>
      <c r="N50" s="24" t="s">
        <v>34</v>
      </c>
      <c r="O50" s="5"/>
      <c r="P50" s="5"/>
      <c r="Q50" s="5"/>
      <c r="R50" s="5"/>
      <c r="S50" s="5"/>
      <c r="T50" s="5"/>
      <c r="U50" s="5"/>
      <c r="V50" s="5"/>
    </row>
    <row r="51" ht="14.25" customHeight="1">
      <c r="A51" s="9">
        <v>7.1</v>
      </c>
      <c r="B51" s="11" t="s">
        <v>396</v>
      </c>
      <c r="C51" s="11" t="s">
        <v>397</v>
      </c>
      <c r="D51" s="11" t="s">
        <v>398</v>
      </c>
      <c r="E51" s="11" t="s">
        <v>399</v>
      </c>
      <c r="F51" s="11" t="s">
        <v>400</v>
      </c>
      <c r="G51" s="11" t="s">
        <v>401</v>
      </c>
      <c r="H51" s="11" t="s">
        <v>402</v>
      </c>
      <c r="I51" s="11" t="s">
        <v>403</v>
      </c>
      <c r="J51" s="11" t="s">
        <v>404</v>
      </c>
      <c r="K51" s="11"/>
      <c r="L51" s="11">
        <v>814.0</v>
      </c>
      <c r="M51" s="11" t="s">
        <v>405</v>
      </c>
      <c r="N51" s="14" t="s">
        <v>34</v>
      </c>
      <c r="O51" s="5"/>
      <c r="P51" s="5"/>
      <c r="Q51" s="5"/>
      <c r="R51" s="5"/>
      <c r="S51" s="5"/>
      <c r="T51" s="5"/>
      <c r="U51" s="5"/>
      <c r="V51" s="5"/>
    </row>
    <row r="52" ht="14.25" customHeight="1">
      <c r="A52" s="15">
        <f t="shared" ref="A52:A59" si="13">A51+0.1</f>
        <v>7.2</v>
      </c>
      <c r="B52" s="2" t="s">
        <v>396</v>
      </c>
      <c r="C52" s="2" t="s">
        <v>397</v>
      </c>
      <c r="D52" s="2" t="s">
        <v>406</v>
      </c>
      <c r="E52" s="2" t="s">
        <v>407</v>
      </c>
      <c r="F52" s="2" t="s">
        <v>408</v>
      </c>
      <c r="G52" s="2" t="s">
        <v>409</v>
      </c>
      <c r="H52" s="2" t="s">
        <v>410</v>
      </c>
      <c r="I52" s="2" t="s">
        <v>411</v>
      </c>
      <c r="J52" s="2" t="s">
        <v>412</v>
      </c>
      <c r="K52" s="2"/>
      <c r="L52" s="2">
        <f t="shared" ref="L52:L60" si="14">L51+1</f>
        <v>815</v>
      </c>
      <c r="M52" s="2" t="s">
        <v>413</v>
      </c>
      <c r="N52" s="18" t="s">
        <v>34</v>
      </c>
      <c r="O52" s="5"/>
      <c r="P52" s="5"/>
      <c r="Q52" s="5"/>
      <c r="R52" s="5"/>
      <c r="S52" s="5"/>
      <c r="T52" s="5"/>
      <c r="U52" s="5"/>
      <c r="V52" s="5"/>
    </row>
    <row r="53" ht="14.25" customHeight="1">
      <c r="A53" s="15">
        <f t="shared" si="13"/>
        <v>7.3</v>
      </c>
      <c r="B53" s="2" t="s">
        <v>396</v>
      </c>
      <c r="C53" s="2" t="s">
        <v>397</v>
      </c>
      <c r="D53" s="2" t="s">
        <v>414</v>
      </c>
      <c r="E53" s="2" t="s">
        <v>415</v>
      </c>
      <c r="F53" s="2" t="s">
        <v>416</v>
      </c>
      <c r="G53" s="2" t="s">
        <v>417</v>
      </c>
      <c r="H53" s="2" t="s">
        <v>418</v>
      </c>
      <c r="I53" s="2" t="s">
        <v>419</v>
      </c>
      <c r="J53" s="2" t="s">
        <v>420</v>
      </c>
      <c r="K53" s="2"/>
      <c r="L53" s="2">
        <f t="shared" si="14"/>
        <v>816</v>
      </c>
      <c r="M53" s="2"/>
      <c r="N53" s="18" t="s">
        <v>34</v>
      </c>
      <c r="O53" s="5"/>
      <c r="P53" s="5"/>
      <c r="Q53" s="5"/>
      <c r="R53" s="5"/>
      <c r="S53" s="5"/>
      <c r="T53" s="5"/>
      <c r="U53" s="5"/>
      <c r="V53" s="5"/>
    </row>
    <row r="54" ht="14.25" customHeight="1">
      <c r="A54" s="15">
        <f t="shared" si="13"/>
        <v>7.4</v>
      </c>
      <c r="B54" s="2" t="s">
        <v>396</v>
      </c>
      <c r="C54" s="2" t="s">
        <v>397</v>
      </c>
      <c r="D54" s="2" t="s">
        <v>421</v>
      </c>
      <c r="E54" s="2" t="s">
        <v>422</v>
      </c>
      <c r="F54" s="2" t="s">
        <v>423</v>
      </c>
      <c r="G54" s="2" t="s">
        <v>424</v>
      </c>
      <c r="H54" s="2" t="s">
        <v>425</v>
      </c>
      <c r="I54" s="2" t="s">
        <v>426</v>
      </c>
      <c r="J54" s="2" t="s">
        <v>427</v>
      </c>
      <c r="K54" s="2"/>
      <c r="L54" s="2">
        <f t="shared" si="14"/>
        <v>817</v>
      </c>
      <c r="M54" s="2"/>
      <c r="N54" s="18" t="s">
        <v>34</v>
      </c>
      <c r="O54" s="5"/>
      <c r="P54" s="5"/>
      <c r="Q54" s="5"/>
      <c r="R54" s="5"/>
      <c r="S54" s="5"/>
      <c r="T54" s="5"/>
      <c r="U54" s="5"/>
      <c r="V54" s="5"/>
    </row>
    <row r="55" ht="14.25" customHeight="1">
      <c r="A55" s="15">
        <f t="shared" si="13"/>
        <v>7.5</v>
      </c>
      <c r="B55" s="2" t="s">
        <v>396</v>
      </c>
      <c r="C55" s="2" t="s">
        <v>397</v>
      </c>
      <c r="D55" s="2" t="s">
        <v>428</v>
      </c>
      <c r="E55" s="2" t="s">
        <v>429</v>
      </c>
      <c r="F55" s="2" t="s">
        <v>430</v>
      </c>
      <c r="G55" s="2" t="s">
        <v>431</v>
      </c>
      <c r="H55" s="2" t="s">
        <v>432</v>
      </c>
      <c r="I55" s="2" t="s">
        <v>433</v>
      </c>
      <c r="J55" s="2" t="s">
        <v>434</v>
      </c>
      <c r="K55" s="2"/>
      <c r="L55" s="2">
        <f t="shared" si="14"/>
        <v>818</v>
      </c>
      <c r="M55" s="2"/>
      <c r="N55" s="18" t="s">
        <v>34</v>
      </c>
      <c r="O55" s="5"/>
      <c r="P55" s="5"/>
      <c r="Q55" s="5"/>
      <c r="R55" s="5"/>
      <c r="S55" s="5"/>
      <c r="T55" s="5"/>
      <c r="U55" s="5"/>
      <c r="V55" s="5"/>
    </row>
    <row r="56" ht="14.25" customHeight="1">
      <c r="A56" s="15">
        <f t="shared" si="13"/>
        <v>7.6</v>
      </c>
      <c r="B56" s="2" t="s">
        <v>396</v>
      </c>
      <c r="C56" s="2" t="s">
        <v>397</v>
      </c>
      <c r="D56" s="2" t="s">
        <v>435</v>
      </c>
      <c r="E56" s="2" t="s">
        <v>436</v>
      </c>
      <c r="F56" s="2" t="s">
        <v>437</v>
      </c>
      <c r="G56" s="2" t="s">
        <v>438</v>
      </c>
      <c r="H56" s="2" t="s">
        <v>439</v>
      </c>
      <c r="I56" s="2" t="s">
        <v>440</v>
      </c>
      <c r="J56" s="2" t="s">
        <v>441</v>
      </c>
      <c r="K56" s="2"/>
      <c r="L56" s="2">
        <f t="shared" si="14"/>
        <v>819</v>
      </c>
      <c r="M56" s="2"/>
      <c r="N56" s="18" t="s">
        <v>34</v>
      </c>
      <c r="O56" s="5"/>
      <c r="P56" s="5"/>
      <c r="Q56" s="5"/>
      <c r="R56" s="5"/>
      <c r="S56" s="5"/>
      <c r="T56" s="5"/>
      <c r="U56" s="5"/>
      <c r="V56" s="5"/>
    </row>
    <row r="57" ht="14.25" customHeight="1">
      <c r="A57" s="15">
        <f t="shared" si="13"/>
        <v>7.7</v>
      </c>
      <c r="B57" s="2" t="s">
        <v>396</v>
      </c>
      <c r="C57" s="2" t="s">
        <v>397</v>
      </c>
      <c r="D57" s="2" t="s">
        <v>442</v>
      </c>
      <c r="E57" s="2" t="s">
        <v>443</v>
      </c>
      <c r="F57" s="2" t="s">
        <v>444</v>
      </c>
      <c r="G57" s="2" t="s">
        <v>445</v>
      </c>
      <c r="H57" s="2" t="s">
        <v>446</v>
      </c>
      <c r="I57" s="2" t="s">
        <v>447</v>
      </c>
      <c r="J57" s="2" t="s">
        <v>448</v>
      </c>
      <c r="K57" s="2"/>
      <c r="L57" s="2">
        <f t="shared" si="14"/>
        <v>820</v>
      </c>
      <c r="M57" s="2"/>
      <c r="N57" s="18" t="s">
        <v>34</v>
      </c>
      <c r="O57" s="5"/>
      <c r="P57" s="5"/>
      <c r="Q57" s="5"/>
      <c r="R57" s="5"/>
      <c r="S57" s="5"/>
      <c r="T57" s="5"/>
      <c r="U57" s="5"/>
      <c r="V57" s="5"/>
    </row>
    <row r="58" ht="14.25" customHeight="1">
      <c r="A58" s="15">
        <f t="shared" si="13"/>
        <v>7.8</v>
      </c>
      <c r="B58" s="2" t="s">
        <v>396</v>
      </c>
      <c r="C58" s="2" t="s">
        <v>397</v>
      </c>
      <c r="D58" s="2" t="s">
        <v>449</v>
      </c>
      <c r="E58" s="2" t="s">
        <v>450</v>
      </c>
      <c r="F58" s="2" t="s">
        <v>451</v>
      </c>
      <c r="G58" s="2" t="s">
        <v>452</v>
      </c>
      <c r="H58" s="2" t="s">
        <v>453</v>
      </c>
      <c r="I58" s="2" t="s">
        <v>454</v>
      </c>
      <c r="J58" s="2" t="s">
        <v>455</v>
      </c>
      <c r="K58" s="2"/>
      <c r="L58" s="2">
        <f t="shared" si="14"/>
        <v>821</v>
      </c>
      <c r="M58" s="2"/>
      <c r="N58" s="18" t="s">
        <v>34</v>
      </c>
      <c r="O58" s="5"/>
      <c r="P58" s="5"/>
      <c r="Q58" s="5"/>
      <c r="R58" s="5"/>
      <c r="S58" s="5"/>
      <c r="T58" s="5"/>
      <c r="U58" s="5"/>
      <c r="V58" s="5"/>
    </row>
    <row r="59" ht="14.25" customHeight="1">
      <c r="A59" s="15">
        <f t="shared" si="13"/>
        <v>7.9</v>
      </c>
      <c r="B59" s="2" t="s">
        <v>396</v>
      </c>
      <c r="C59" s="2" t="s">
        <v>397</v>
      </c>
      <c r="D59" s="2" t="s">
        <v>456</v>
      </c>
      <c r="E59" s="2" t="s">
        <v>457</v>
      </c>
      <c r="F59" s="2" t="s">
        <v>458</v>
      </c>
      <c r="G59" s="2" t="s">
        <v>459</v>
      </c>
      <c r="H59" s="2" t="s">
        <v>460</v>
      </c>
      <c r="I59" s="2" t="s">
        <v>461</v>
      </c>
      <c r="J59" s="2" t="s">
        <v>462</v>
      </c>
      <c r="K59" s="2"/>
      <c r="L59" s="2">
        <f t="shared" si="14"/>
        <v>822</v>
      </c>
      <c r="M59" s="2"/>
      <c r="N59" s="18" t="s">
        <v>34</v>
      </c>
      <c r="O59" s="5"/>
      <c r="P59" s="5"/>
      <c r="Q59" s="5"/>
      <c r="R59" s="5"/>
      <c r="S59" s="5"/>
      <c r="T59" s="5"/>
      <c r="U59" s="5"/>
      <c r="V59" s="5"/>
    </row>
    <row r="60" ht="14.25" customHeight="1">
      <c r="A60" s="20" t="s">
        <v>463</v>
      </c>
      <c r="B60" s="22" t="s">
        <v>396</v>
      </c>
      <c r="C60" s="22" t="s">
        <v>397</v>
      </c>
      <c r="D60" s="22" t="s">
        <v>464</v>
      </c>
      <c r="E60" s="22" t="s">
        <v>465</v>
      </c>
      <c r="F60" s="22" t="s">
        <v>466</v>
      </c>
      <c r="G60" s="22" t="s">
        <v>467</v>
      </c>
      <c r="H60" s="22" t="s">
        <v>468</v>
      </c>
      <c r="I60" s="22" t="s">
        <v>469</v>
      </c>
      <c r="J60" s="22" t="s">
        <v>470</v>
      </c>
      <c r="K60" s="22"/>
      <c r="L60" s="22">
        <f t="shared" si="14"/>
        <v>823</v>
      </c>
      <c r="M60" s="22"/>
      <c r="N60" s="24" t="s">
        <v>34</v>
      </c>
      <c r="O60" s="5"/>
      <c r="P60" s="5"/>
      <c r="Q60" s="5"/>
      <c r="R60" s="5"/>
      <c r="S60" s="5"/>
      <c r="T60" s="5"/>
      <c r="U60" s="5"/>
      <c r="V60" s="5"/>
    </row>
    <row r="61" ht="14.25" customHeight="1">
      <c r="A61" s="9">
        <v>8.1</v>
      </c>
      <c r="B61" s="11" t="s">
        <v>471</v>
      </c>
      <c r="C61" s="11" t="s">
        <v>472</v>
      </c>
      <c r="D61" s="11" t="s">
        <v>473</v>
      </c>
      <c r="E61" s="11" t="s">
        <v>474</v>
      </c>
      <c r="F61" s="11" t="s">
        <v>475</v>
      </c>
      <c r="G61" s="11" t="s">
        <v>476</v>
      </c>
      <c r="H61" s="11" t="s">
        <v>477</v>
      </c>
      <c r="I61" s="11" t="s">
        <v>478</v>
      </c>
      <c r="J61" s="11" t="s">
        <v>479</v>
      </c>
      <c r="K61" s="11"/>
      <c r="L61" s="11">
        <v>824.0</v>
      </c>
      <c r="M61" s="11" t="s">
        <v>480</v>
      </c>
      <c r="N61" s="25"/>
      <c r="O61" s="5"/>
      <c r="P61" s="5"/>
      <c r="Q61" s="5"/>
      <c r="R61" s="5"/>
      <c r="S61" s="5"/>
      <c r="T61" s="5"/>
      <c r="U61" s="5"/>
      <c r="V61" s="5"/>
    </row>
    <row r="62" ht="14.25" customHeight="1">
      <c r="A62" s="9">
        <f t="shared" ref="A62:A69" si="15">A61+0.1</f>
        <v>8.2</v>
      </c>
      <c r="B62" s="11" t="s">
        <v>471</v>
      </c>
      <c r="C62" s="11" t="s">
        <v>472</v>
      </c>
      <c r="D62" s="2" t="s">
        <v>481</v>
      </c>
      <c r="E62" s="2" t="s">
        <v>482</v>
      </c>
      <c r="F62" s="2" t="s">
        <v>483</v>
      </c>
      <c r="G62" s="2" t="s">
        <v>484</v>
      </c>
      <c r="H62" s="2" t="s">
        <v>485</v>
      </c>
      <c r="I62" s="2" t="s">
        <v>486</v>
      </c>
      <c r="J62" s="2" t="s">
        <v>487</v>
      </c>
      <c r="K62" s="2"/>
      <c r="L62" s="2">
        <f t="shared" ref="L62:L71" si="16">L61+1</f>
        <v>825</v>
      </c>
      <c r="M62" s="2" t="s">
        <v>488</v>
      </c>
      <c r="N62" s="26"/>
      <c r="O62" s="5"/>
      <c r="P62" s="5"/>
      <c r="Q62" s="5"/>
      <c r="R62" s="5"/>
      <c r="S62" s="5"/>
      <c r="T62" s="5"/>
      <c r="U62" s="5"/>
      <c r="V62" s="5"/>
    </row>
    <row r="63" ht="14.25" customHeight="1">
      <c r="A63" s="9">
        <f t="shared" si="15"/>
        <v>8.3</v>
      </c>
      <c r="B63" s="11" t="s">
        <v>471</v>
      </c>
      <c r="C63" s="11" t="s">
        <v>472</v>
      </c>
      <c r="D63" s="2" t="s">
        <v>489</v>
      </c>
      <c r="E63" s="2" t="s">
        <v>490</v>
      </c>
      <c r="F63" s="2" t="s">
        <v>491</v>
      </c>
      <c r="G63" s="2" t="s">
        <v>492</v>
      </c>
      <c r="H63" s="2" t="s">
        <v>493</v>
      </c>
      <c r="I63" s="2" t="s">
        <v>494</v>
      </c>
      <c r="J63" s="2" t="s">
        <v>495</v>
      </c>
      <c r="K63" s="2"/>
      <c r="L63" s="2">
        <f t="shared" si="16"/>
        <v>826</v>
      </c>
      <c r="M63" s="2" t="s">
        <v>496</v>
      </c>
      <c r="N63" s="26"/>
      <c r="O63" s="5"/>
      <c r="P63" s="5"/>
      <c r="Q63" s="5"/>
      <c r="R63" s="5"/>
      <c r="S63" s="5"/>
      <c r="T63" s="5"/>
      <c r="U63" s="5"/>
      <c r="V63" s="5"/>
    </row>
    <row r="64" ht="14.25" customHeight="1">
      <c r="A64" s="9">
        <f t="shared" si="15"/>
        <v>8.4</v>
      </c>
      <c r="B64" s="11" t="s">
        <v>471</v>
      </c>
      <c r="C64" s="11" t="s">
        <v>472</v>
      </c>
      <c r="D64" s="2" t="s">
        <v>497</v>
      </c>
      <c r="E64" s="2" t="s">
        <v>498</v>
      </c>
      <c r="F64" s="2" t="s">
        <v>499</v>
      </c>
      <c r="G64" s="2" t="s">
        <v>500</v>
      </c>
      <c r="H64" s="2" t="s">
        <v>501</v>
      </c>
      <c r="I64" s="2" t="s">
        <v>502</v>
      </c>
      <c r="J64" s="2" t="s">
        <v>503</v>
      </c>
      <c r="K64" s="2"/>
      <c r="L64" s="2">
        <f t="shared" si="16"/>
        <v>827</v>
      </c>
      <c r="M64" s="2"/>
      <c r="N64" s="26"/>
      <c r="O64" s="5"/>
      <c r="P64" s="5"/>
      <c r="Q64" s="5"/>
      <c r="R64" s="5"/>
      <c r="S64" s="5"/>
      <c r="T64" s="5"/>
      <c r="U64" s="5"/>
      <c r="V64" s="5"/>
    </row>
    <row r="65" ht="14.25" customHeight="1">
      <c r="A65" s="9">
        <f t="shared" si="15"/>
        <v>8.5</v>
      </c>
      <c r="B65" s="11" t="s">
        <v>471</v>
      </c>
      <c r="C65" s="11" t="s">
        <v>472</v>
      </c>
      <c r="D65" s="2" t="s">
        <v>504</v>
      </c>
      <c r="E65" s="2" t="s">
        <v>505</v>
      </c>
      <c r="F65" s="2" t="s">
        <v>506</v>
      </c>
      <c r="G65" s="2" t="s">
        <v>507</v>
      </c>
      <c r="H65" s="2" t="s">
        <v>508</v>
      </c>
      <c r="I65" s="2" t="s">
        <v>509</v>
      </c>
      <c r="J65" s="2" t="s">
        <v>510</v>
      </c>
      <c r="K65" s="2"/>
      <c r="L65" s="2">
        <f t="shared" si="16"/>
        <v>828</v>
      </c>
      <c r="M65" s="2"/>
      <c r="N65" s="26"/>
      <c r="O65" s="5"/>
      <c r="P65" s="5"/>
      <c r="Q65" s="5"/>
      <c r="R65" s="5"/>
      <c r="S65" s="5"/>
      <c r="T65" s="5"/>
      <c r="U65" s="5"/>
      <c r="V65" s="5"/>
    </row>
    <row r="66" ht="14.25" customHeight="1">
      <c r="A66" s="9">
        <f t="shared" si="15"/>
        <v>8.6</v>
      </c>
      <c r="B66" s="11" t="s">
        <v>471</v>
      </c>
      <c r="C66" s="11" t="s">
        <v>472</v>
      </c>
      <c r="D66" s="2" t="s">
        <v>511</v>
      </c>
      <c r="E66" s="2" t="s">
        <v>512</v>
      </c>
      <c r="F66" s="2" t="s">
        <v>513</v>
      </c>
      <c r="G66" s="2" t="s">
        <v>514</v>
      </c>
      <c r="H66" s="2" t="s">
        <v>515</v>
      </c>
      <c r="I66" s="2" t="s">
        <v>516</v>
      </c>
      <c r="J66" s="2" t="s">
        <v>517</v>
      </c>
      <c r="K66" s="2"/>
      <c r="L66" s="2">
        <f t="shared" si="16"/>
        <v>829</v>
      </c>
      <c r="M66" s="2"/>
      <c r="N66" s="26"/>
      <c r="O66" s="5"/>
      <c r="P66" s="5"/>
      <c r="Q66" s="5"/>
      <c r="R66" s="5"/>
      <c r="S66" s="5"/>
      <c r="T66" s="5"/>
      <c r="U66" s="5"/>
      <c r="V66" s="5"/>
    </row>
    <row r="67" ht="14.25" customHeight="1">
      <c r="A67" s="9">
        <f t="shared" si="15"/>
        <v>8.7</v>
      </c>
      <c r="B67" s="11" t="s">
        <v>471</v>
      </c>
      <c r="C67" s="11" t="s">
        <v>472</v>
      </c>
      <c r="D67" s="2" t="s">
        <v>518</v>
      </c>
      <c r="E67" s="5" t="s">
        <v>519</v>
      </c>
      <c r="F67" s="2" t="s">
        <v>520</v>
      </c>
      <c r="G67" s="2" t="s">
        <v>521</v>
      </c>
      <c r="H67" s="2" t="s">
        <v>522</v>
      </c>
      <c r="I67" s="2" t="s">
        <v>523</v>
      </c>
      <c r="J67" s="2" t="s">
        <v>524</v>
      </c>
      <c r="K67" s="2"/>
      <c r="L67" s="2">
        <f t="shared" si="16"/>
        <v>830</v>
      </c>
      <c r="M67" s="2"/>
      <c r="N67" s="26"/>
      <c r="O67" s="5"/>
      <c r="P67" s="5"/>
      <c r="Q67" s="5"/>
      <c r="R67" s="5"/>
      <c r="S67" s="5"/>
      <c r="T67" s="5"/>
      <c r="U67" s="5"/>
      <c r="V67" s="5"/>
    </row>
    <row r="68" ht="14.25" customHeight="1">
      <c r="A68" s="9">
        <f t="shared" si="15"/>
        <v>8.8</v>
      </c>
      <c r="B68" s="11" t="s">
        <v>471</v>
      </c>
      <c r="C68" s="11" t="s">
        <v>472</v>
      </c>
      <c r="D68" s="2" t="s">
        <v>525</v>
      </c>
      <c r="E68" s="2" t="s">
        <v>526</v>
      </c>
      <c r="F68" s="2" t="s">
        <v>527</v>
      </c>
      <c r="G68" s="2" t="s">
        <v>528</v>
      </c>
      <c r="H68" s="2" t="s">
        <v>529</v>
      </c>
      <c r="I68" s="2" t="s">
        <v>530</v>
      </c>
      <c r="J68" s="2" t="s">
        <v>531</v>
      </c>
      <c r="K68" s="2"/>
      <c r="L68" s="2">
        <f t="shared" si="16"/>
        <v>831</v>
      </c>
      <c r="M68" s="2"/>
      <c r="N68" s="26"/>
      <c r="O68" s="5"/>
      <c r="P68" s="5"/>
      <c r="Q68" s="5"/>
      <c r="R68" s="5"/>
      <c r="S68" s="5"/>
      <c r="T68" s="5"/>
      <c r="U68" s="5"/>
      <c r="V68" s="5"/>
    </row>
    <row r="69" ht="14.25" customHeight="1">
      <c r="A69" s="9">
        <f t="shared" si="15"/>
        <v>8.9</v>
      </c>
      <c r="B69" s="11" t="s">
        <v>471</v>
      </c>
      <c r="C69" s="11" t="s">
        <v>472</v>
      </c>
      <c r="D69" s="2" t="s">
        <v>532</v>
      </c>
      <c r="E69" s="2" t="s">
        <v>533</v>
      </c>
      <c r="F69" s="2" t="s">
        <v>534</v>
      </c>
      <c r="G69" s="2" t="s">
        <v>535</v>
      </c>
      <c r="H69" s="2" t="s">
        <v>536</v>
      </c>
      <c r="I69" s="2" t="s">
        <v>537</v>
      </c>
      <c r="J69" s="2" t="s">
        <v>538</v>
      </c>
      <c r="K69" s="2"/>
      <c r="L69" s="2">
        <f t="shared" si="16"/>
        <v>832</v>
      </c>
      <c r="M69" s="2"/>
      <c r="N69" s="26"/>
      <c r="O69" s="5"/>
      <c r="P69" s="5"/>
      <c r="Q69" s="5"/>
      <c r="R69" s="5"/>
      <c r="S69" s="5"/>
      <c r="T69" s="5"/>
      <c r="U69" s="5"/>
      <c r="V69" s="5"/>
    </row>
    <row r="70" ht="14.25" customHeight="1">
      <c r="A70" s="9" t="s">
        <v>539</v>
      </c>
      <c r="B70" s="11" t="s">
        <v>471</v>
      </c>
      <c r="C70" s="11" t="s">
        <v>472</v>
      </c>
      <c r="D70" s="2" t="s">
        <v>540</v>
      </c>
      <c r="E70" s="2" t="s">
        <v>541</v>
      </c>
      <c r="F70" s="2" t="s">
        <v>542</v>
      </c>
      <c r="G70" s="2" t="s">
        <v>543</v>
      </c>
      <c r="H70" s="2" t="s">
        <v>544</v>
      </c>
      <c r="I70" s="2" t="s">
        <v>545</v>
      </c>
      <c r="J70" s="2" t="s">
        <v>546</v>
      </c>
      <c r="K70" s="2"/>
      <c r="L70" s="2">
        <f t="shared" si="16"/>
        <v>833</v>
      </c>
      <c r="M70" s="2"/>
      <c r="N70" s="26"/>
      <c r="O70" s="5"/>
      <c r="P70" s="5"/>
      <c r="Q70" s="5"/>
      <c r="R70" s="5"/>
      <c r="S70" s="5"/>
      <c r="T70" s="5"/>
      <c r="U70" s="5"/>
      <c r="V70" s="5"/>
    </row>
    <row r="71" ht="14.25" customHeight="1">
      <c r="A71" s="30">
        <v>8.11</v>
      </c>
      <c r="B71" s="33" t="s">
        <v>471</v>
      </c>
      <c r="C71" s="33" t="s">
        <v>472</v>
      </c>
      <c r="D71" s="22" t="s">
        <v>547</v>
      </c>
      <c r="E71" s="22" t="s">
        <v>548</v>
      </c>
      <c r="F71" s="22" t="s">
        <v>549</v>
      </c>
      <c r="G71" s="22" t="s">
        <v>550</v>
      </c>
      <c r="H71" s="22" t="s">
        <v>551</v>
      </c>
      <c r="I71" s="22" t="s">
        <v>552</v>
      </c>
      <c r="J71" s="22" t="s">
        <v>553</v>
      </c>
      <c r="K71" s="22"/>
      <c r="L71" s="22">
        <f t="shared" si="16"/>
        <v>834</v>
      </c>
      <c r="M71" s="22" t="s">
        <v>554</v>
      </c>
      <c r="N71" s="24"/>
      <c r="O71" s="5"/>
      <c r="P71" s="5"/>
      <c r="Q71" s="5"/>
      <c r="R71" s="5"/>
      <c r="S71" s="5"/>
      <c r="T71" s="5"/>
      <c r="U71" s="5"/>
      <c r="V71" s="5"/>
    </row>
    <row r="72" ht="14.25" customHeight="1">
      <c r="A72" s="9">
        <v>9.1</v>
      </c>
      <c r="B72" s="11" t="s">
        <v>555</v>
      </c>
      <c r="C72" s="11" t="s">
        <v>556</v>
      </c>
      <c r="D72" s="11" t="s">
        <v>557</v>
      </c>
      <c r="E72" s="11" t="s">
        <v>558</v>
      </c>
      <c r="F72" s="11" t="s">
        <v>559</v>
      </c>
      <c r="G72" s="11" t="s">
        <v>560</v>
      </c>
      <c r="H72" s="11" t="s">
        <v>561</v>
      </c>
      <c r="I72" s="11" t="s">
        <v>562</v>
      </c>
      <c r="J72" s="11" t="s">
        <v>563</v>
      </c>
      <c r="K72" s="11"/>
      <c r="L72" s="11">
        <v>835.0</v>
      </c>
      <c r="M72" s="11" t="s">
        <v>564</v>
      </c>
      <c r="N72" s="25"/>
      <c r="O72" s="5"/>
      <c r="P72" s="5"/>
      <c r="Q72" s="5"/>
      <c r="R72" s="5"/>
      <c r="S72" s="5"/>
      <c r="T72" s="5"/>
      <c r="U72" s="5"/>
      <c r="V72" s="5"/>
    </row>
    <row r="73" ht="14.25" customHeight="1">
      <c r="A73" s="9">
        <f t="shared" ref="A73:A80" si="17">A72+0.1</f>
        <v>9.2</v>
      </c>
      <c r="B73" s="2" t="s">
        <v>555</v>
      </c>
      <c r="C73" s="2" t="s">
        <v>556</v>
      </c>
      <c r="D73" s="2" t="s">
        <v>565</v>
      </c>
      <c r="E73" s="2" t="s">
        <v>566</v>
      </c>
      <c r="F73" s="2" t="s">
        <v>567</v>
      </c>
      <c r="G73" s="2" t="s">
        <v>568</v>
      </c>
      <c r="H73" s="2" t="s">
        <v>569</v>
      </c>
      <c r="I73" s="2" t="s">
        <v>570</v>
      </c>
      <c r="J73" s="2" t="s">
        <v>571</v>
      </c>
      <c r="K73" s="2"/>
      <c r="L73" s="2">
        <f t="shared" ref="L73:L84" si="18">L72+1</f>
        <v>836</v>
      </c>
      <c r="M73" s="2" t="s">
        <v>572</v>
      </c>
      <c r="N73" s="26"/>
      <c r="O73" s="5"/>
      <c r="P73" s="5"/>
      <c r="Q73" s="5"/>
      <c r="R73" s="5"/>
      <c r="S73" s="5"/>
      <c r="T73" s="5"/>
      <c r="U73" s="5"/>
      <c r="V73" s="5"/>
    </row>
    <row r="74" ht="14.25" customHeight="1">
      <c r="A74" s="9">
        <f t="shared" si="17"/>
        <v>9.3</v>
      </c>
      <c r="B74" s="2" t="s">
        <v>555</v>
      </c>
      <c r="C74" s="2" t="s">
        <v>556</v>
      </c>
      <c r="D74" s="2" t="s">
        <v>573</v>
      </c>
      <c r="E74" s="2" t="s">
        <v>574</v>
      </c>
      <c r="F74" s="2" t="s">
        <v>575</v>
      </c>
      <c r="G74" s="2" t="s">
        <v>576</v>
      </c>
      <c r="H74" s="34" t="s">
        <v>577</v>
      </c>
      <c r="I74" s="2" t="s">
        <v>578</v>
      </c>
      <c r="J74" s="2" t="s">
        <v>579</v>
      </c>
      <c r="K74" s="2"/>
      <c r="L74" s="2">
        <f t="shared" si="18"/>
        <v>837</v>
      </c>
      <c r="M74" s="34" t="s">
        <v>580</v>
      </c>
      <c r="N74" s="26"/>
      <c r="O74" s="5"/>
      <c r="P74" s="5"/>
      <c r="Q74" s="5"/>
      <c r="R74" s="5"/>
      <c r="S74" s="5"/>
      <c r="T74" s="5"/>
      <c r="U74" s="5"/>
      <c r="V74" s="5"/>
    </row>
    <row r="75" ht="14.25" customHeight="1">
      <c r="A75" s="9">
        <f t="shared" si="17"/>
        <v>9.4</v>
      </c>
      <c r="B75" s="2" t="s">
        <v>555</v>
      </c>
      <c r="C75" s="2" t="s">
        <v>556</v>
      </c>
      <c r="D75" s="2" t="s">
        <v>581</v>
      </c>
      <c r="E75" s="2" t="s">
        <v>582</v>
      </c>
      <c r="F75" s="2" t="s">
        <v>583</v>
      </c>
      <c r="G75" s="2" t="s">
        <v>584</v>
      </c>
      <c r="H75" s="2" t="s">
        <v>585</v>
      </c>
      <c r="I75" s="2" t="s">
        <v>586</v>
      </c>
      <c r="J75" s="2"/>
      <c r="K75" s="2"/>
      <c r="L75" s="2">
        <f t="shared" si="18"/>
        <v>838</v>
      </c>
      <c r="M75" s="2" t="s">
        <v>587</v>
      </c>
      <c r="N75" s="26"/>
      <c r="O75" s="5"/>
      <c r="P75" s="5"/>
      <c r="Q75" s="5"/>
      <c r="R75" s="5"/>
      <c r="S75" s="5"/>
      <c r="T75" s="5"/>
      <c r="U75" s="5"/>
      <c r="V75" s="5"/>
    </row>
    <row r="76" ht="14.25" customHeight="1">
      <c r="A76" s="9">
        <f t="shared" si="17"/>
        <v>9.5</v>
      </c>
      <c r="B76" s="2" t="s">
        <v>555</v>
      </c>
      <c r="C76" s="2" t="s">
        <v>556</v>
      </c>
      <c r="D76" s="2" t="s">
        <v>588</v>
      </c>
      <c r="E76" s="35" t="s">
        <v>589</v>
      </c>
      <c r="F76" s="35" t="s">
        <v>590</v>
      </c>
      <c r="G76" s="2" t="s">
        <v>591</v>
      </c>
      <c r="H76" s="2" t="s">
        <v>592</v>
      </c>
      <c r="I76" s="35" t="s">
        <v>593</v>
      </c>
      <c r="J76" s="2" t="s">
        <v>594</v>
      </c>
      <c r="K76" s="2"/>
      <c r="L76" s="2">
        <f t="shared" si="18"/>
        <v>839</v>
      </c>
      <c r="M76" s="2" t="s">
        <v>595</v>
      </c>
      <c r="N76" s="26"/>
      <c r="O76" s="5"/>
      <c r="P76" s="5"/>
      <c r="Q76" s="5"/>
      <c r="R76" s="5"/>
      <c r="S76" s="5"/>
      <c r="T76" s="5"/>
      <c r="U76" s="5"/>
      <c r="V76" s="5"/>
    </row>
    <row r="77" ht="14.25" customHeight="1">
      <c r="A77" s="9">
        <f t="shared" si="17"/>
        <v>9.6</v>
      </c>
      <c r="B77" s="2" t="s">
        <v>555</v>
      </c>
      <c r="C77" s="2" t="s">
        <v>556</v>
      </c>
      <c r="D77" s="2" t="s">
        <v>596</v>
      </c>
      <c r="E77" s="2" t="s">
        <v>597</v>
      </c>
      <c r="F77" s="2" t="s">
        <v>598</v>
      </c>
      <c r="G77" s="2" t="s">
        <v>599</v>
      </c>
      <c r="H77" s="2" t="s">
        <v>600</v>
      </c>
      <c r="I77" s="2" t="s">
        <v>601</v>
      </c>
      <c r="J77" s="2" t="s">
        <v>602</v>
      </c>
      <c r="K77" s="2"/>
      <c r="L77" s="2">
        <f t="shared" si="18"/>
        <v>840</v>
      </c>
      <c r="M77" s="2"/>
      <c r="N77" s="26"/>
      <c r="O77" s="5"/>
      <c r="P77" s="5"/>
      <c r="Q77" s="5"/>
      <c r="R77" s="5"/>
      <c r="S77" s="5"/>
      <c r="T77" s="5"/>
      <c r="U77" s="5"/>
      <c r="V77" s="5"/>
    </row>
    <row r="78" ht="14.25" customHeight="1">
      <c r="A78" s="9">
        <f t="shared" si="17"/>
        <v>9.7</v>
      </c>
      <c r="B78" s="2" t="s">
        <v>555</v>
      </c>
      <c r="C78" s="2" t="s">
        <v>556</v>
      </c>
      <c r="D78" s="2" t="s">
        <v>603</v>
      </c>
      <c r="E78" s="2" t="s">
        <v>604</v>
      </c>
      <c r="F78" s="2" t="s">
        <v>605</v>
      </c>
      <c r="G78" s="2" t="s">
        <v>606</v>
      </c>
      <c r="H78" s="2" t="s">
        <v>607</v>
      </c>
      <c r="I78" s="2" t="s">
        <v>608</v>
      </c>
      <c r="J78" s="2" t="s">
        <v>609</v>
      </c>
      <c r="K78" s="2"/>
      <c r="L78" s="2">
        <f t="shared" si="18"/>
        <v>841</v>
      </c>
      <c r="M78" s="2"/>
      <c r="N78" s="26"/>
      <c r="O78" s="5"/>
      <c r="P78" s="5"/>
      <c r="Q78" s="5"/>
      <c r="R78" s="5"/>
      <c r="S78" s="5"/>
      <c r="T78" s="5"/>
      <c r="U78" s="5"/>
      <c r="V78" s="5"/>
    </row>
    <row r="79" ht="14.25" customHeight="1">
      <c r="A79" s="9">
        <f t="shared" si="17"/>
        <v>9.8</v>
      </c>
      <c r="B79" s="2" t="s">
        <v>555</v>
      </c>
      <c r="C79" s="2" t="s">
        <v>556</v>
      </c>
      <c r="D79" s="2" t="s">
        <v>610</v>
      </c>
      <c r="E79" s="2" t="s">
        <v>611</v>
      </c>
      <c r="F79" s="2" t="s">
        <v>612</v>
      </c>
      <c r="G79" s="2" t="s">
        <v>613</v>
      </c>
      <c r="H79" s="2" t="s">
        <v>614</v>
      </c>
      <c r="I79" s="2" t="s">
        <v>615</v>
      </c>
      <c r="J79" s="2" t="s">
        <v>616</v>
      </c>
      <c r="K79" s="2"/>
      <c r="L79" s="2">
        <f t="shared" si="18"/>
        <v>842</v>
      </c>
      <c r="M79" s="2"/>
      <c r="N79" s="26"/>
      <c r="O79" s="5"/>
      <c r="P79" s="5"/>
      <c r="Q79" s="5"/>
      <c r="R79" s="5"/>
      <c r="S79" s="5"/>
      <c r="T79" s="5"/>
      <c r="U79" s="5"/>
      <c r="V79" s="5"/>
    </row>
    <row r="80" ht="14.25" customHeight="1">
      <c r="A80" s="9">
        <f t="shared" si="17"/>
        <v>9.9</v>
      </c>
      <c r="B80" s="2" t="s">
        <v>555</v>
      </c>
      <c r="C80" s="2" t="s">
        <v>556</v>
      </c>
      <c r="D80" s="2" t="s">
        <v>617</v>
      </c>
      <c r="E80" s="2" t="s">
        <v>618</v>
      </c>
      <c r="F80" s="2" t="s">
        <v>619</v>
      </c>
      <c r="G80" s="2" t="s">
        <v>620</v>
      </c>
      <c r="H80" s="2" t="s">
        <v>621</v>
      </c>
      <c r="I80" s="2" t="s">
        <v>622</v>
      </c>
      <c r="J80" s="2" t="s">
        <v>623</v>
      </c>
      <c r="K80" s="2"/>
      <c r="L80" s="2">
        <f t="shared" si="18"/>
        <v>843</v>
      </c>
      <c r="M80" s="2"/>
      <c r="N80" s="26"/>
      <c r="O80" s="5"/>
      <c r="P80" s="5"/>
      <c r="Q80" s="5"/>
      <c r="R80" s="5"/>
      <c r="S80" s="5"/>
      <c r="T80" s="5"/>
      <c r="U80" s="5"/>
      <c r="V80" s="5"/>
    </row>
    <row r="81" ht="14.25" customHeight="1">
      <c r="A81" s="9" t="s">
        <v>624</v>
      </c>
      <c r="B81" s="2" t="s">
        <v>555</v>
      </c>
      <c r="C81" s="2" t="s">
        <v>556</v>
      </c>
      <c r="D81" s="2" t="s">
        <v>625</v>
      </c>
      <c r="E81" s="2" t="s">
        <v>626</v>
      </c>
      <c r="F81" s="2" t="s">
        <v>627</v>
      </c>
      <c r="G81" s="2" t="s">
        <v>628</v>
      </c>
      <c r="H81" s="2" t="s">
        <v>629</v>
      </c>
      <c r="I81" s="2" t="s">
        <v>630</v>
      </c>
      <c r="J81" s="2" t="s">
        <v>631</v>
      </c>
      <c r="K81" s="2"/>
      <c r="L81" s="2">
        <f t="shared" si="18"/>
        <v>844</v>
      </c>
      <c r="M81" s="2" t="s">
        <v>632</v>
      </c>
      <c r="N81" s="26"/>
      <c r="O81" s="5"/>
      <c r="P81" s="5"/>
      <c r="Q81" s="5"/>
      <c r="R81" s="5"/>
      <c r="S81" s="5"/>
      <c r="T81" s="5"/>
      <c r="U81" s="5"/>
      <c r="V81" s="5"/>
    </row>
    <row r="82" ht="14.25" customHeight="1">
      <c r="A82" s="9">
        <v>9.11</v>
      </c>
      <c r="B82" s="2" t="s">
        <v>555</v>
      </c>
      <c r="C82" s="2" t="s">
        <v>556</v>
      </c>
      <c r="D82" s="2" t="s">
        <v>633</v>
      </c>
      <c r="E82" s="2" t="s">
        <v>634</v>
      </c>
      <c r="F82" s="2" t="s">
        <v>635</v>
      </c>
      <c r="G82" s="2" t="s">
        <v>636</v>
      </c>
      <c r="H82" s="2" t="s">
        <v>637</v>
      </c>
      <c r="I82" s="2" t="s">
        <v>638</v>
      </c>
      <c r="J82" s="2" t="s">
        <v>639</v>
      </c>
      <c r="K82" s="2"/>
      <c r="L82" s="2">
        <f t="shared" si="18"/>
        <v>845</v>
      </c>
      <c r="M82" s="2"/>
      <c r="N82" s="26"/>
      <c r="O82" s="5"/>
      <c r="P82" s="5"/>
      <c r="Q82" s="5"/>
      <c r="R82" s="5"/>
      <c r="S82" s="5"/>
      <c r="T82" s="5"/>
      <c r="U82" s="5"/>
      <c r="V82" s="5"/>
    </row>
    <row r="83" ht="14.25" customHeight="1">
      <c r="A83" s="9">
        <v>9.12</v>
      </c>
      <c r="B83" s="2" t="s">
        <v>555</v>
      </c>
      <c r="C83" s="2" t="s">
        <v>556</v>
      </c>
      <c r="D83" s="2" t="s">
        <v>640</v>
      </c>
      <c r="E83" s="2" t="s">
        <v>641</v>
      </c>
      <c r="F83" s="2" t="s">
        <v>642</v>
      </c>
      <c r="G83" s="2" t="s">
        <v>643</v>
      </c>
      <c r="H83" s="2" t="s">
        <v>644</v>
      </c>
      <c r="I83" s="2" t="s">
        <v>645</v>
      </c>
      <c r="J83" s="2" t="s">
        <v>646</v>
      </c>
      <c r="K83" s="2"/>
      <c r="L83" s="2">
        <f t="shared" si="18"/>
        <v>846</v>
      </c>
      <c r="M83" s="2"/>
      <c r="N83" s="26"/>
      <c r="O83" s="5"/>
      <c r="P83" s="5"/>
      <c r="Q83" s="5"/>
      <c r="R83" s="5"/>
      <c r="S83" s="5"/>
      <c r="T83" s="5"/>
      <c r="U83" s="5"/>
      <c r="V83" s="5"/>
    </row>
    <row r="84" ht="14.25" customHeight="1">
      <c r="A84" s="30">
        <v>9.13</v>
      </c>
      <c r="B84" s="22" t="s">
        <v>555</v>
      </c>
      <c r="C84" s="22" t="s">
        <v>556</v>
      </c>
      <c r="D84" s="22" t="s">
        <v>647</v>
      </c>
      <c r="E84" s="22" t="s">
        <v>648</v>
      </c>
      <c r="F84" s="22" t="s">
        <v>649</v>
      </c>
      <c r="G84" s="22" t="s">
        <v>650</v>
      </c>
      <c r="H84" s="22" t="s">
        <v>651</v>
      </c>
      <c r="I84" s="22" t="s">
        <v>652</v>
      </c>
      <c r="J84" s="22" t="s">
        <v>653</v>
      </c>
      <c r="K84" s="22"/>
      <c r="L84" s="22">
        <f t="shared" si="18"/>
        <v>847</v>
      </c>
      <c r="M84" s="22"/>
      <c r="N84" s="24"/>
      <c r="O84" s="5"/>
      <c r="P84" s="5"/>
      <c r="Q84" s="5"/>
      <c r="R84" s="5"/>
      <c r="S84" s="5"/>
      <c r="T84" s="5"/>
      <c r="U84" s="5"/>
      <c r="V84" s="5"/>
    </row>
    <row r="85" ht="14.25" customHeight="1">
      <c r="A85" s="9">
        <v>10.1</v>
      </c>
      <c r="B85" s="11" t="s">
        <v>654</v>
      </c>
      <c r="C85" s="36" t="s">
        <v>655</v>
      </c>
      <c r="D85" s="11" t="s">
        <v>656</v>
      </c>
      <c r="E85" s="11" t="s">
        <v>657</v>
      </c>
      <c r="F85" s="36" t="s">
        <v>658</v>
      </c>
      <c r="G85" s="11" t="s">
        <v>659</v>
      </c>
      <c r="H85" s="11" t="s">
        <v>660</v>
      </c>
      <c r="I85" s="11" t="s">
        <v>661</v>
      </c>
      <c r="J85" s="11" t="s">
        <v>662</v>
      </c>
      <c r="K85" s="36"/>
      <c r="L85" s="11">
        <v>848.0</v>
      </c>
      <c r="M85" s="11" t="s">
        <v>663</v>
      </c>
      <c r="N85" s="25" t="s">
        <v>664</v>
      </c>
      <c r="O85" s="5"/>
      <c r="P85" s="5"/>
      <c r="Q85" s="5"/>
      <c r="R85" s="5"/>
      <c r="S85" s="5"/>
      <c r="T85" s="5"/>
      <c r="U85" s="5"/>
      <c r="V85" s="5"/>
    </row>
    <row r="86" ht="14.25" customHeight="1">
      <c r="A86" s="15">
        <f t="shared" ref="A86:A93" si="19">A85+0.1</f>
        <v>10.2</v>
      </c>
      <c r="B86" s="2" t="s">
        <v>654</v>
      </c>
      <c r="C86" s="2" t="s">
        <v>655</v>
      </c>
      <c r="D86" s="2" t="s">
        <v>665</v>
      </c>
      <c r="E86" s="2" t="s">
        <v>666</v>
      </c>
      <c r="F86" s="2" t="s">
        <v>667</v>
      </c>
      <c r="G86" s="2" t="s">
        <v>668</v>
      </c>
      <c r="H86" s="2" t="s">
        <v>669</v>
      </c>
      <c r="I86" s="2" t="s">
        <v>670</v>
      </c>
      <c r="J86" s="2" t="s">
        <v>671</v>
      </c>
      <c r="K86" s="2"/>
      <c r="L86" s="2">
        <f t="shared" ref="L86:L98" si="20">L85+1</f>
        <v>849</v>
      </c>
      <c r="M86" s="2" t="s">
        <v>672</v>
      </c>
      <c r="N86" s="26" t="s">
        <v>664</v>
      </c>
      <c r="O86" s="5"/>
      <c r="P86" s="5"/>
      <c r="Q86" s="5"/>
      <c r="R86" s="5"/>
      <c r="S86" s="5"/>
      <c r="T86" s="5"/>
      <c r="U86" s="5"/>
      <c r="V86" s="5"/>
    </row>
    <row r="87" ht="14.25" customHeight="1">
      <c r="A87" s="15">
        <f t="shared" si="19"/>
        <v>10.3</v>
      </c>
      <c r="B87" s="2" t="s">
        <v>654</v>
      </c>
      <c r="C87" s="2" t="s">
        <v>655</v>
      </c>
      <c r="D87" s="2" t="s">
        <v>673</v>
      </c>
      <c r="E87" s="2" t="s">
        <v>674</v>
      </c>
      <c r="F87" s="2" t="s">
        <v>675</v>
      </c>
      <c r="G87" s="2" t="s">
        <v>676</v>
      </c>
      <c r="H87" s="2" t="s">
        <v>677</v>
      </c>
      <c r="I87" s="2" t="s">
        <v>678</v>
      </c>
      <c r="J87" s="2" t="s">
        <v>679</v>
      </c>
      <c r="K87" s="2"/>
      <c r="L87" s="2">
        <f t="shared" si="20"/>
        <v>850</v>
      </c>
      <c r="M87" s="2"/>
      <c r="N87" s="26" t="s">
        <v>664</v>
      </c>
      <c r="O87" s="5"/>
      <c r="P87" s="5"/>
      <c r="Q87" s="5"/>
      <c r="R87" s="5"/>
      <c r="S87" s="5"/>
      <c r="T87" s="5"/>
      <c r="U87" s="5"/>
      <c r="V87" s="5"/>
    </row>
    <row r="88" ht="14.25" customHeight="1">
      <c r="A88" s="15">
        <f t="shared" si="19"/>
        <v>10.4</v>
      </c>
      <c r="B88" s="2" t="s">
        <v>654</v>
      </c>
      <c r="C88" s="2" t="s">
        <v>655</v>
      </c>
      <c r="D88" s="2" t="s">
        <v>680</v>
      </c>
      <c r="E88" s="2" t="s">
        <v>681</v>
      </c>
      <c r="F88" s="2" t="s">
        <v>682</v>
      </c>
      <c r="G88" s="2" t="s">
        <v>683</v>
      </c>
      <c r="H88" s="2" t="s">
        <v>684</v>
      </c>
      <c r="I88" s="2" t="s">
        <v>685</v>
      </c>
      <c r="J88" s="2" t="s">
        <v>686</v>
      </c>
      <c r="K88" s="2"/>
      <c r="L88" s="2">
        <f t="shared" si="20"/>
        <v>851</v>
      </c>
      <c r="M88" s="2"/>
      <c r="N88" s="26" t="s">
        <v>664</v>
      </c>
      <c r="O88" s="5"/>
      <c r="P88" s="5"/>
      <c r="Q88" s="5"/>
      <c r="R88" s="5"/>
      <c r="S88" s="5"/>
      <c r="T88" s="5"/>
      <c r="U88" s="5"/>
      <c r="V88" s="5"/>
    </row>
    <row r="89" ht="14.25" customHeight="1">
      <c r="A89" s="15">
        <f t="shared" si="19"/>
        <v>10.5</v>
      </c>
      <c r="B89" s="2" t="s">
        <v>654</v>
      </c>
      <c r="C89" s="2" t="s">
        <v>655</v>
      </c>
      <c r="D89" s="2" t="s">
        <v>687</v>
      </c>
      <c r="E89" s="2" t="s">
        <v>688</v>
      </c>
      <c r="F89" s="2" t="s">
        <v>689</v>
      </c>
      <c r="G89" s="2" t="s">
        <v>690</v>
      </c>
      <c r="H89" s="2" t="s">
        <v>691</v>
      </c>
      <c r="I89" s="2" t="s">
        <v>692</v>
      </c>
      <c r="J89" s="2" t="s">
        <v>693</v>
      </c>
      <c r="K89" s="2"/>
      <c r="L89" s="2">
        <f t="shared" si="20"/>
        <v>852</v>
      </c>
      <c r="M89" s="2"/>
      <c r="N89" s="26" t="s">
        <v>664</v>
      </c>
      <c r="O89" s="5"/>
      <c r="P89" s="5"/>
      <c r="Q89" s="5"/>
      <c r="R89" s="5"/>
      <c r="S89" s="5"/>
      <c r="T89" s="5"/>
      <c r="U89" s="5"/>
      <c r="V89" s="5"/>
    </row>
    <row r="90" ht="14.25" customHeight="1">
      <c r="A90" s="15">
        <f t="shared" si="19"/>
        <v>10.6</v>
      </c>
      <c r="B90" s="2" t="s">
        <v>654</v>
      </c>
      <c r="C90" s="2" t="s">
        <v>655</v>
      </c>
      <c r="D90" s="2" t="s">
        <v>694</v>
      </c>
      <c r="E90" s="2" t="s">
        <v>695</v>
      </c>
      <c r="F90" s="2" t="s">
        <v>696</v>
      </c>
      <c r="G90" s="2" t="s">
        <v>697</v>
      </c>
      <c r="H90" s="2" t="s">
        <v>698</v>
      </c>
      <c r="I90" s="2" t="s">
        <v>699</v>
      </c>
      <c r="J90" s="2" t="s">
        <v>700</v>
      </c>
      <c r="K90" s="2"/>
      <c r="L90" s="2">
        <f t="shared" si="20"/>
        <v>853</v>
      </c>
      <c r="M90" s="2" t="s">
        <v>701</v>
      </c>
      <c r="N90" s="26" t="s">
        <v>664</v>
      </c>
      <c r="O90" s="5"/>
      <c r="P90" s="5"/>
      <c r="Q90" s="5"/>
      <c r="R90" s="5"/>
      <c r="S90" s="5"/>
      <c r="T90" s="5"/>
      <c r="U90" s="5"/>
      <c r="V90" s="5"/>
    </row>
    <row r="91" ht="14.25" customHeight="1">
      <c r="A91" s="15">
        <f t="shared" si="19"/>
        <v>10.7</v>
      </c>
      <c r="B91" s="2" t="s">
        <v>654</v>
      </c>
      <c r="C91" s="2" t="s">
        <v>655</v>
      </c>
      <c r="D91" s="2" t="s">
        <v>702</v>
      </c>
      <c r="E91" s="2" t="s">
        <v>703</v>
      </c>
      <c r="F91" s="2" t="s">
        <v>704</v>
      </c>
      <c r="G91" s="2" t="s">
        <v>705</v>
      </c>
      <c r="H91" s="2" t="s">
        <v>706</v>
      </c>
      <c r="I91" s="2" t="s">
        <v>707</v>
      </c>
      <c r="J91" s="2" t="s">
        <v>708</v>
      </c>
      <c r="K91" s="2"/>
      <c r="L91" s="2">
        <f t="shared" si="20"/>
        <v>854</v>
      </c>
      <c r="M91" s="2"/>
      <c r="N91" s="26" t="s">
        <v>664</v>
      </c>
      <c r="O91" s="5"/>
      <c r="P91" s="5"/>
      <c r="Q91" s="5"/>
      <c r="R91" s="5"/>
      <c r="S91" s="5"/>
      <c r="T91" s="5"/>
      <c r="U91" s="5"/>
      <c r="V91" s="5"/>
    </row>
    <row r="92" ht="14.25" customHeight="1">
      <c r="A92" s="15">
        <f t="shared" si="19"/>
        <v>10.8</v>
      </c>
      <c r="B92" s="2" t="s">
        <v>654</v>
      </c>
      <c r="C92" s="2" t="s">
        <v>655</v>
      </c>
      <c r="D92" s="2" t="s">
        <v>709</v>
      </c>
      <c r="E92" s="2" t="s">
        <v>710</v>
      </c>
      <c r="F92" s="2" t="s">
        <v>711</v>
      </c>
      <c r="G92" s="2" t="s">
        <v>712</v>
      </c>
      <c r="H92" s="2" t="s">
        <v>713</v>
      </c>
      <c r="I92" s="2" t="s">
        <v>714</v>
      </c>
      <c r="J92" s="2" t="s">
        <v>715</v>
      </c>
      <c r="K92" s="2"/>
      <c r="L92" s="2">
        <f t="shared" si="20"/>
        <v>855</v>
      </c>
      <c r="M92" s="2"/>
      <c r="N92" s="26" t="s">
        <v>664</v>
      </c>
      <c r="O92" s="5"/>
      <c r="P92" s="5"/>
      <c r="Q92" s="5"/>
      <c r="R92" s="5"/>
      <c r="S92" s="5"/>
      <c r="T92" s="5"/>
      <c r="U92" s="5"/>
      <c r="V92" s="5"/>
    </row>
    <row r="93" ht="14.25" customHeight="1">
      <c r="A93" s="15">
        <f t="shared" si="19"/>
        <v>10.9</v>
      </c>
      <c r="B93" s="2" t="s">
        <v>654</v>
      </c>
      <c r="C93" s="2" t="s">
        <v>655</v>
      </c>
      <c r="D93" s="2" t="s">
        <v>716</v>
      </c>
      <c r="E93" s="2" t="s">
        <v>717</v>
      </c>
      <c r="F93" s="2" t="s">
        <v>718</v>
      </c>
      <c r="G93" s="2" t="s">
        <v>719</v>
      </c>
      <c r="H93" s="2" t="s">
        <v>720</v>
      </c>
      <c r="I93" s="2" t="s">
        <v>721</v>
      </c>
      <c r="J93" s="2" t="s">
        <v>722</v>
      </c>
      <c r="K93" s="2"/>
      <c r="L93" s="2">
        <f t="shared" si="20"/>
        <v>856</v>
      </c>
      <c r="M93" s="2"/>
      <c r="N93" s="26" t="s">
        <v>664</v>
      </c>
      <c r="O93" s="5"/>
      <c r="P93" s="5"/>
      <c r="Q93" s="5"/>
      <c r="R93" s="5"/>
      <c r="S93" s="5"/>
      <c r="T93" s="5"/>
      <c r="U93" s="5"/>
      <c r="V93" s="5"/>
    </row>
    <row r="94" ht="14.25" customHeight="1">
      <c r="A94" s="15" t="s">
        <v>723</v>
      </c>
      <c r="B94" s="2" t="s">
        <v>654</v>
      </c>
      <c r="C94" s="2" t="s">
        <v>655</v>
      </c>
      <c r="D94" s="2" t="s">
        <v>724</v>
      </c>
      <c r="E94" s="2" t="s">
        <v>725</v>
      </c>
      <c r="F94" s="2" t="s">
        <v>726</v>
      </c>
      <c r="G94" s="2" t="s">
        <v>727</v>
      </c>
      <c r="H94" s="2" t="s">
        <v>728</v>
      </c>
      <c r="I94" s="2" t="s">
        <v>729</v>
      </c>
      <c r="J94" s="2" t="s">
        <v>730</v>
      </c>
      <c r="K94" s="2"/>
      <c r="L94" s="2">
        <f t="shared" si="20"/>
        <v>857</v>
      </c>
      <c r="M94" s="2"/>
      <c r="N94" s="26" t="s">
        <v>664</v>
      </c>
      <c r="O94" s="5"/>
      <c r="P94" s="5"/>
      <c r="Q94" s="5"/>
      <c r="R94" s="5"/>
      <c r="S94" s="5"/>
      <c r="T94" s="5"/>
      <c r="U94" s="5"/>
      <c r="V94" s="5"/>
    </row>
    <row r="95" ht="14.25" customHeight="1">
      <c r="A95" s="15">
        <v>10.11</v>
      </c>
      <c r="B95" s="2" t="s">
        <v>654</v>
      </c>
      <c r="C95" s="2" t="s">
        <v>655</v>
      </c>
      <c r="D95" s="2" t="s">
        <v>731</v>
      </c>
      <c r="E95" s="2" t="s">
        <v>732</v>
      </c>
      <c r="F95" s="2" t="s">
        <v>733</v>
      </c>
      <c r="G95" s="2" t="s">
        <v>734</v>
      </c>
      <c r="H95" s="2" t="s">
        <v>735</v>
      </c>
      <c r="I95" s="2" t="s">
        <v>736</v>
      </c>
      <c r="J95" s="2" t="s">
        <v>737</v>
      </c>
      <c r="K95" s="2"/>
      <c r="L95" s="2">
        <f t="shared" si="20"/>
        <v>858</v>
      </c>
      <c r="M95" s="2" t="s">
        <v>738</v>
      </c>
      <c r="N95" s="26" t="s">
        <v>664</v>
      </c>
      <c r="O95" s="5"/>
      <c r="P95" s="5"/>
      <c r="Q95" s="5"/>
      <c r="R95" s="5"/>
      <c r="S95" s="5"/>
      <c r="T95" s="5"/>
      <c r="U95" s="5"/>
      <c r="V95" s="5"/>
    </row>
    <row r="96" ht="14.25" customHeight="1">
      <c r="A96" s="15">
        <v>10.12</v>
      </c>
      <c r="B96" s="2" t="s">
        <v>654</v>
      </c>
      <c r="C96" s="2" t="s">
        <v>655</v>
      </c>
      <c r="D96" s="2" t="s">
        <v>739</v>
      </c>
      <c r="E96" s="2" t="s">
        <v>740</v>
      </c>
      <c r="F96" s="2" t="s">
        <v>741</v>
      </c>
      <c r="G96" s="2" t="s">
        <v>742</v>
      </c>
      <c r="H96" s="2" t="s">
        <v>743</v>
      </c>
      <c r="I96" s="2" t="s">
        <v>744</v>
      </c>
      <c r="J96" s="2" t="s">
        <v>745</v>
      </c>
      <c r="K96" s="2"/>
      <c r="L96" s="2">
        <f t="shared" si="20"/>
        <v>859</v>
      </c>
      <c r="M96" s="2"/>
      <c r="N96" s="26" t="s">
        <v>664</v>
      </c>
      <c r="O96" s="5"/>
      <c r="P96" s="5"/>
      <c r="Q96" s="5"/>
      <c r="R96" s="5"/>
      <c r="S96" s="5"/>
      <c r="T96" s="5"/>
      <c r="U96" s="5"/>
      <c r="V96" s="5"/>
    </row>
    <row r="97" ht="14.25" customHeight="1">
      <c r="A97" s="15">
        <v>10.13</v>
      </c>
      <c r="B97" s="2" t="s">
        <v>654</v>
      </c>
      <c r="C97" s="2" t="s">
        <v>655</v>
      </c>
      <c r="D97" s="2" t="s">
        <v>746</v>
      </c>
      <c r="E97" s="2" t="s">
        <v>747</v>
      </c>
      <c r="F97" s="2" t="s">
        <v>748</v>
      </c>
      <c r="G97" s="2" t="s">
        <v>749</v>
      </c>
      <c r="H97" s="2" t="s">
        <v>750</v>
      </c>
      <c r="I97" s="2" t="s">
        <v>751</v>
      </c>
      <c r="J97" s="2" t="s">
        <v>752</v>
      </c>
      <c r="K97" s="2"/>
      <c r="L97" s="2">
        <f t="shared" si="20"/>
        <v>860</v>
      </c>
      <c r="M97" s="2"/>
      <c r="N97" s="26" t="s">
        <v>664</v>
      </c>
      <c r="O97" s="5"/>
      <c r="P97" s="5"/>
      <c r="Q97" s="5"/>
      <c r="R97" s="5"/>
      <c r="S97" s="5"/>
      <c r="T97" s="5"/>
      <c r="U97" s="5"/>
      <c r="V97" s="5"/>
    </row>
    <row r="98" ht="14.25" customHeight="1">
      <c r="A98" s="20">
        <v>10.14</v>
      </c>
      <c r="B98" s="22" t="s">
        <v>654</v>
      </c>
      <c r="C98" s="22" t="s">
        <v>655</v>
      </c>
      <c r="D98" s="22" t="s">
        <v>753</v>
      </c>
      <c r="E98" s="22" t="s">
        <v>754</v>
      </c>
      <c r="F98" s="22" t="s">
        <v>755</v>
      </c>
      <c r="G98" s="22" t="s">
        <v>756</v>
      </c>
      <c r="H98" s="22" t="s">
        <v>757</v>
      </c>
      <c r="I98" s="22" t="s">
        <v>758</v>
      </c>
      <c r="J98" s="22" t="s">
        <v>759</v>
      </c>
      <c r="K98" s="22"/>
      <c r="L98" s="22">
        <f t="shared" si="20"/>
        <v>861</v>
      </c>
      <c r="M98" s="22" t="s">
        <v>760</v>
      </c>
      <c r="N98" s="24" t="s">
        <v>664</v>
      </c>
      <c r="O98" s="5"/>
      <c r="P98" s="5"/>
      <c r="Q98" s="5"/>
      <c r="R98" s="5"/>
      <c r="S98" s="5"/>
      <c r="T98" s="5"/>
      <c r="U98" s="5"/>
      <c r="V98" s="5"/>
    </row>
    <row r="99" ht="14.25" customHeight="1">
      <c r="A99" s="37">
        <v>11.1</v>
      </c>
      <c r="B99" s="36" t="s">
        <v>761</v>
      </c>
      <c r="C99" s="36" t="s">
        <v>762</v>
      </c>
      <c r="D99" s="36" t="s">
        <v>763</v>
      </c>
      <c r="E99" s="36" t="s">
        <v>764</v>
      </c>
      <c r="F99" s="36" t="s">
        <v>765</v>
      </c>
      <c r="G99" s="36" t="s">
        <v>766</v>
      </c>
      <c r="H99" s="36" t="s">
        <v>767</v>
      </c>
      <c r="I99" s="36" t="s">
        <v>768</v>
      </c>
      <c r="J99" s="36" t="s">
        <v>769</v>
      </c>
      <c r="K99" s="36"/>
      <c r="L99" s="38">
        <v>862.0</v>
      </c>
      <c r="M99" s="36" t="s">
        <v>770</v>
      </c>
      <c r="N99" s="25" t="s">
        <v>142</v>
      </c>
      <c r="O99" s="39"/>
      <c r="P99" s="39"/>
      <c r="Q99" s="39"/>
      <c r="R99" s="39"/>
      <c r="S99" s="39"/>
      <c r="T99" s="39"/>
      <c r="U99" s="39"/>
      <c r="V99" s="39"/>
    </row>
    <row r="100" ht="14.25" customHeight="1">
      <c r="A100" s="15">
        <f t="shared" ref="A100:A107" si="21">+A99+0.1</f>
        <v>11.2</v>
      </c>
      <c r="B100" s="2" t="s">
        <v>761</v>
      </c>
      <c r="C100" s="2" t="s">
        <v>762</v>
      </c>
      <c r="D100" s="2" t="s">
        <v>771</v>
      </c>
      <c r="E100" s="2" t="s">
        <v>772</v>
      </c>
      <c r="F100" s="2" t="s">
        <v>773</v>
      </c>
      <c r="G100" s="2" t="s">
        <v>774</v>
      </c>
      <c r="H100" s="2" t="s">
        <v>775</v>
      </c>
      <c r="I100" s="2" t="s">
        <v>776</v>
      </c>
      <c r="J100" s="2" t="s">
        <v>777</v>
      </c>
      <c r="K100" s="2"/>
      <c r="L100" s="40">
        <f t="shared" ref="L100:L114" si="22">L99+1</f>
        <v>863</v>
      </c>
      <c r="M100" s="2"/>
      <c r="N100" s="26" t="s">
        <v>142</v>
      </c>
      <c r="O100" s="39"/>
      <c r="P100" s="39"/>
      <c r="Q100" s="39"/>
      <c r="R100" s="39"/>
      <c r="S100" s="39"/>
      <c r="T100" s="39"/>
      <c r="U100" s="39"/>
      <c r="V100" s="39"/>
    </row>
    <row r="101" ht="14.25" customHeight="1">
      <c r="A101" s="15">
        <f t="shared" si="21"/>
        <v>11.3</v>
      </c>
      <c r="B101" s="2" t="s">
        <v>761</v>
      </c>
      <c r="C101" s="2" t="s">
        <v>762</v>
      </c>
      <c r="D101" s="2" t="s">
        <v>778</v>
      </c>
      <c r="E101" s="2" t="s">
        <v>779</v>
      </c>
      <c r="F101" s="2" t="s">
        <v>780</v>
      </c>
      <c r="G101" s="2" t="s">
        <v>781</v>
      </c>
      <c r="H101" s="2" t="s">
        <v>782</v>
      </c>
      <c r="I101" s="2" t="s">
        <v>783</v>
      </c>
      <c r="J101" s="2" t="s">
        <v>784</v>
      </c>
      <c r="K101" s="2"/>
      <c r="L101" s="40">
        <f t="shared" si="22"/>
        <v>864</v>
      </c>
      <c r="M101" s="2"/>
      <c r="N101" s="26" t="s">
        <v>142</v>
      </c>
      <c r="O101" s="39"/>
      <c r="P101" s="39"/>
      <c r="Q101" s="39"/>
      <c r="R101" s="39"/>
      <c r="S101" s="39"/>
      <c r="T101" s="39"/>
      <c r="U101" s="39"/>
      <c r="V101" s="39"/>
    </row>
    <row r="102" ht="14.25" customHeight="1">
      <c r="A102" s="15">
        <f t="shared" si="21"/>
        <v>11.4</v>
      </c>
      <c r="B102" s="2" t="s">
        <v>761</v>
      </c>
      <c r="C102" s="2" t="s">
        <v>762</v>
      </c>
      <c r="D102" s="2" t="s">
        <v>785</v>
      </c>
      <c r="E102" s="2" t="s">
        <v>786</v>
      </c>
      <c r="F102" s="2" t="s">
        <v>787</v>
      </c>
      <c r="G102" s="2" t="s">
        <v>788</v>
      </c>
      <c r="H102" s="2" t="s">
        <v>789</v>
      </c>
      <c r="I102" s="2" t="s">
        <v>790</v>
      </c>
      <c r="J102" s="2" t="s">
        <v>791</v>
      </c>
      <c r="K102" s="2"/>
      <c r="L102" s="40">
        <f t="shared" si="22"/>
        <v>865</v>
      </c>
      <c r="M102" s="2"/>
      <c r="N102" s="26" t="s">
        <v>142</v>
      </c>
      <c r="O102" s="39"/>
      <c r="P102" s="39"/>
      <c r="Q102" s="39"/>
      <c r="R102" s="39"/>
      <c r="S102" s="39"/>
      <c r="T102" s="39"/>
      <c r="U102" s="39"/>
      <c r="V102" s="39"/>
    </row>
    <row r="103" ht="14.25" customHeight="1">
      <c r="A103" s="15">
        <f t="shared" si="21"/>
        <v>11.5</v>
      </c>
      <c r="B103" s="2" t="s">
        <v>761</v>
      </c>
      <c r="C103" s="2" t="s">
        <v>762</v>
      </c>
      <c r="D103" s="2" t="s">
        <v>792</v>
      </c>
      <c r="E103" s="2" t="s">
        <v>793</v>
      </c>
      <c r="F103" s="2" t="s">
        <v>794</v>
      </c>
      <c r="G103" s="2" t="s">
        <v>795</v>
      </c>
      <c r="H103" s="2" t="s">
        <v>796</v>
      </c>
      <c r="I103" s="2" t="s">
        <v>797</v>
      </c>
      <c r="J103" s="2" t="s">
        <v>798</v>
      </c>
      <c r="K103" s="2"/>
      <c r="L103" s="40">
        <f t="shared" si="22"/>
        <v>866</v>
      </c>
      <c r="M103" s="2"/>
      <c r="N103" s="26" t="s">
        <v>142</v>
      </c>
      <c r="O103" s="39"/>
      <c r="P103" s="39"/>
      <c r="Q103" s="39"/>
      <c r="R103" s="39"/>
      <c r="S103" s="39"/>
      <c r="T103" s="39"/>
      <c r="U103" s="39"/>
      <c r="V103" s="39"/>
    </row>
    <row r="104" ht="14.25" customHeight="1">
      <c r="A104" s="15">
        <f t="shared" si="21"/>
        <v>11.6</v>
      </c>
      <c r="B104" s="2" t="s">
        <v>761</v>
      </c>
      <c r="C104" s="2" t="s">
        <v>762</v>
      </c>
      <c r="D104" s="2" t="s">
        <v>799</v>
      </c>
      <c r="E104" s="2" t="s">
        <v>800</v>
      </c>
      <c r="F104" s="2" t="s">
        <v>801</v>
      </c>
      <c r="G104" s="2" t="s">
        <v>802</v>
      </c>
      <c r="H104" s="2" t="s">
        <v>803</v>
      </c>
      <c r="I104" s="2" t="s">
        <v>804</v>
      </c>
      <c r="J104" s="2" t="s">
        <v>805</v>
      </c>
      <c r="K104" s="2"/>
      <c r="L104" s="40">
        <f t="shared" si="22"/>
        <v>867</v>
      </c>
      <c r="M104" s="2"/>
      <c r="N104" s="26" t="s">
        <v>142</v>
      </c>
      <c r="O104" s="39"/>
      <c r="P104" s="39"/>
      <c r="Q104" s="39"/>
      <c r="R104" s="39"/>
      <c r="S104" s="39"/>
      <c r="T104" s="39"/>
      <c r="U104" s="39"/>
      <c r="V104" s="39"/>
    </row>
    <row r="105" ht="14.25" customHeight="1">
      <c r="A105" s="15">
        <f t="shared" si="21"/>
        <v>11.7</v>
      </c>
      <c r="B105" s="2" t="s">
        <v>761</v>
      </c>
      <c r="C105" s="2" t="s">
        <v>762</v>
      </c>
      <c r="D105" s="2" t="s">
        <v>806</v>
      </c>
      <c r="E105" s="2" t="s">
        <v>807</v>
      </c>
      <c r="F105" s="2" t="s">
        <v>808</v>
      </c>
      <c r="G105" s="2" t="s">
        <v>809</v>
      </c>
      <c r="H105" s="2" t="s">
        <v>810</v>
      </c>
      <c r="I105" s="2" t="s">
        <v>811</v>
      </c>
      <c r="J105" s="2" t="s">
        <v>812</v>
      </c>
      <c r="K105" s="2"/>
      <c r="L105" s="40">
        <f t="shared" si="22"/>
        <v>868</v>
      </c>
      <c r="M105" s="2"/>
      <c r="N105" s="26" t="s">
        <v>142</v>
      </c>
      <c r="O105" s="39"/>
      <c r="P105" s="39"/>
      <c r="Q105" s="39"/>
      <c r="R105" s="39"/>
      <c r="S105" s="39"/>
      <c r="T105" s="39"/>
      <c r="U105" s="39"/>
      <c r="V105" s="39"/>
    </row>
    <row r="106" ht="14.25" customHeight="1">
      <c r="A106" s="15">
        <f t="shared" si="21"/>
        <v>11.8</v>
      </c>
      <c r="B106" s="2" t="s">
        <v>761</v>
      </c>
      <c r="C106" s="2" t="s">
        <v>762</v>
      </c>
      <c r="D106" s="2" t="s">
        <v>813</v>
      </c>
      <c r="E106" s="2" t="s">
        <v>814</v>
      </c>
      <c r="F106" s="2" t="s">
        <v>815</v>
      </c>
      <c r="G106" s="2" t="s">
        <v>816</v>
      </c>
      <c r="H106" s="2" t="s">
        <v>817</v>
      </c>
      <c r="I106" s="2" t="s">
        <v>818</v>
      </c>
      <c r="J106" s="2" t="s">
        <v>819</v>
      </c>
      <c r="K106" s="2"/>
      <c r="L106" s="40">
        <f t="shared" si="22"/>
        <v>869</v>
      </c>
      <c r="M106" s="2"/>
      <c r="N106" s="26" t="s">
        <v>820</v>
      </c>
      <c r="O106" s="39"/>
      <c r="P106" s="39"/>
      <c r="Q106" s="39"/>
      <c r="R106" s="39"/>
      <c r="S106" s="39"/>
      <c r="T106" s="39"/>
      <c r="U106" s="39"/>
      <c r="V106" s="39"/>
    </row>
    <row r="107" ht="14.25" customHeight="1">
      <c r="A107" s="15">
        <f t="shared" si="21"/>
        <v>11.9</v>
      </c>
      <c r="B107" s="2" t="s">
        <v>761</v>
      </c>
      <c r="C107" s="2" t="s">
        <v>762</v>
      </c>
      <c r="D107" s="2" t="s">
        <v>821</v>
      </c>
      <c r="E107" s="2" t="s">
        <v>822</v>
      </c>
      <c r="F107" s="2" t="s">
        <v>823</v>
      </c>
      <c r="G107" s="2" t="s">
        <v>824</v>
      </c>
      <c r="H107" s="2" t="s">
        <v>825</v>
      </c>
      <c r="I107" s="2" t="s">
        <v>826</v>
      </c>
      <c r="J107" s="2" t="s">
        <v>827</v>
      </c>
      <c r="K107" s="2"/>
      <c r="L107" s="40">
        <f t="shared" si="22"/>
        <v>870</v>
      </c>
      <c r="M107" s="2"/>
      <c r="N107" s="26" t="s">
        <v>820</v>
      </c>
      <c r="O107" s="39"/>
      <c r="P107" s="39"/>
      <c r="Q107" s="39"/>
      <c r="R107" s="39"/>
      <c r="S107" s="39"/>
      <c r="T107" s="39"/>
      <c r="U107" s="39"/>
      <c r="V107" s="39"/>
    </row>
    <row r="108" ht="14.25" customHeight="1">
      <c r="A108" s="15" t="s">
        <v>828</v>
      </c>
      <c r="B108" s="2" t="s">
        <v>761</v>
      </c>
      <c r="C108" s="2" t="s">
        <v>762</v>
      </c>
      <c r="D108" s="2" t="s">
        <v>829</v>
      </c>
      <c r="E108" s="2" t="s">
        <v>830</v>
      </c>
      <c r="F108" s="2" t="s">
        <v>831</v>
      </c>
      <c r="G108" s="2" t="s">
        <v>832</v>
      </c>
      <c r="H108" s="2" t="s">
        <v>833</v>
      </c>
      <c r="I108" s="2" t="s">
        <v>834</v>
      </c>
      <c r="J108" s="2" t="s">
        <v>835</v>
      </c>
      <c r="K108" s="2"/>
      <c r="L108" s="40">
        <f t="shared" si="22"/>
        <v>871</v>
      </c>
      <c r="M108" s="2"/>
      <c r="N108" s="26" t="s">
        <v>820</v>
      </c>
      <c r="O108" s="39"/>
      <c r="P108" s="39"/>
      <c r="Q108" s="39"/>
      <c r="R108" s="39"/>
      <c r="S108" s="39"/>
      <c r="T108" s="39"/>
      <c r="U108" s="39"/>
      <c r="V108" s="39"/>
    </row>
    <row r="109" ht="14.25" customHeight="1">
      <c r="A109" s="15">
        <v>11.11</v>
      </c>
      <c r="B109" s="2" t="s">
        <v>761</v>
      </c>
      <c r="C109" s="2" t="s">
        <v>762</v>
      </c>
      <c r="D109" s="2" t="s">
        <v>836</v>
      </c>
      <c r="E109" s="2" t="s">
        <v>837</v>
      </c>
      <c r="F109" s="2" t="s">
        <v>838</v>
      </c>
      <c r="G109" s="2" t="s">
        <v>839</v>
      </c>
      <c r="H109" s="2" t="s">
        <v>840</v>
      </c>
      <c r="I109" s="2" t="s">
        <v>841</v>
      </c>
      <c r="J109" s="2" t="s">
        <v>842</v>
      </c>
      <c r="K109" s="2"/>
      <c r="L109" s="40">
        <f t="shared" si="22"/>
        <v>872</v>
      </c>
      <c r="M109" s="2"/>
      <c r="N109" s="26" t="s">
        <v>820</v>
      </c>
      <c r="O109" s="39"/>
      <c r="P109" s="39"/>
      <c r="Q109" s="39"/>
      <c r="R109" s="39"/>
      <c r="S109" s="39"/>
      <c r="T109" s="39"/>
      <c r="U109" s="39"/>
      <c r="V109" s="39"/>
    </row>
    <row r="110" ht="14.25" customHeight="1">
      <c r="A110" s="15">
        <f t="shared" ref="A110:A114" si="23">+A109+0.01</f>
        <v>11.12</v>
      </c>
      <c r="B110" s="2" t="s">
        <v>761</v>
      </c>
      <c r="C110" s="2" t="s">
        <v>762</v>
      </c>
      <c r="D110" s="2" t="s">
        <v>843</v>
      </c>
      <c r="E110" s="2" t="s">
        <v>844</v>
      </c>
      <c r="F110" s="2" t="s">
        <v>845</v>
      </c>
      <c r="G110" s="2" t="s">
        <v>846</v>
      </c>
      <c r="H110" s="2" t="s">
        <v>847</v>
      </c>
      <c r="I110" s="2" t="s">
        <v>848</v>
      </c>
      <c r="J110" s="2" t="s">
        <v>849</v>
      </c>
      <c r="K110" s="2"/>
      <c r="L110" s="40">
        <f t="shared" si="22"/>
        <v>873</v>
      </c>
      <c r="M110" s="2"/>
      <c r="N110" s="26" t="s">
        <v>820</v>
      </c>
      <c r="O110" s="39"/>
      <c r="P110" s="39"/>
      <c r="Q110" s="39"/>
      <c r="R110" s="39"/>
      <c r="S110" s="39"/>
      <c r="T110" s="39"/>
      <c r="U110" s="39"/>
      <c r="V110" s="39"/>
    </row>
    <row r="111" ht="14.25" customHeight="1">
      <c r="A111" s="15">
        <f t="shared" si="23"/>
        <v>11.13</v>
      </c>
      <c r="B111" s="2" t="s">
        <v>761</v>
      </c>
      <c r="C111" s="2" t="s">
        <v>762</v>
      </c>
      <c r="D111" s="2" t="s">
        <v>850</v>
      </c>
      <c r="E111" s="2" t="s">
        <v>851</v>
      </c>
      <c r="F111" s="2" t="s">
        <v>852</v>
      </c>
      <c r="G111" s="2" t="s">
        <v>853</v>
      </c>
      <c r="H111" s="2" t="s">
        <v>854</v>
      </c>
      <c r="I111" s="2" t="s">
        <v>855</v>
      </c>
      <c r="J111" s="2" t="s">
        <v>856</v>
      </c>
      <c r="K111" s="2"/>
      <c r="L111" s="40">
        <f t="shared" si="22"/>
        <v>874</v>
      </c>
      <c r="M111" s="2" t="s">
        <v>857</v>
      </c>
      <c r="N111" s="26" t="s">
        <v>820</v>
      </c>
      <c r="O111" s="39"/>
      <c r="P111" s="39"/>
      <c r="Q111" s="39"/>
      <c r="R111" s="39"/>
      <c r="S111" s="39"/>
      <c r="T111" s="39"/>
      <c r="U111" s="39"/>
      <c r="V111" s="39"/>
    </row>
    <row r="112" ht="14.25" customHeight="1">
      <c r="A112" s="15">
        <f t="shared" si="23"/>
        <v>11.14</v>
      </c>
      <c r="B112" s="2" t="s">
        <v>761</v>
      </c>
      <c r="C112" s="2" t="s">
        <v>762</v>
      </c>
      <c r="D112" s="2" t="s">
        <v>858</v>
      </c>
      <c r="E112" s="2" t="s">
        <v>859</v>
      </c>
      <c r="F112" s="2" t="s">
        <v>860</v>
      </c>
      <c r="G112" s="2" t="s">
        <v>861</v>
      </c>
      <c r="H112" s="2" t="s">
        <v>862</v>
      </c>
      <c r="I112" s="2" t="s">
        <v>863</v>
      </c>
      <c r="J112" s="2" t="s">
        <v>864</v>
      </c>
      <c r="K112" s="2"/>
      <c r="L112" s="40">
        <f t="shared" si="22"/>
        <v>875</v>
      </c>
      <c r="M112" s="2" t="s">
        <v>865</v>
      </c>
      <c r="N112" s="26" t="s">
        <v>820</v>
      </c>
      <c r="O112" s="39"/>
      <c r="P112" s="39"/>
      <c r="Q112" s="39"/>
      <c r="R112" s="39"/>
      <c r="S112" s="39"/>
      <c r="T112" s="39"/>
      <c r="U112" s="39"/>
      <c r="V112" s="39"/>
    </row>
    <row r="113" ht="14.25" customHeight="1">
      <c r="A113" s="15">
        <f t="shared" si="23"/>
        <v>11.15</v>
      </c>
      <c r="B113" s="2" t="s">
        <v>761</v>
      </c>
      <c r="C113" s="2" t="s">
        <v>762</v>
      </c>
      <c r="D113" s="2" t="s">
        <v>866</v>
      </c>
      <c r="E113" s="2" t="s">
        <v>867</v>
      </c>
      <c r="F113" s="2" t="s">
        <v>868</v>
      </c>
      <c r="G113" s="2" t="s">
        <v>869</v>
      </c>
      <c r="H113" s="2" t="s">
        <v>870</v>
      </c>
      <c r="I113" s="2" t="s">
        <v>871</v>
      </c>
      <c r="J113" s="2" t="s">
        <v>872</v>
      </c>
      <c r="K113" s="2"/>
      <c r="L113" s="40">
        <f t="shared" si="22"/>
        <v>876</v>
      </c>
      <c r="M113" s="2" t="s">
        <v>873</v>
      </c>
      <c r="N113" s="26" t="s">
        <v>820</v>
      </c>
      <c r="O113" s="39"/>
      <c r="P113" s="39"/>
      <c r="Q113" s="39"/>
      <c r="R113" s="39"/>
      <c r="S113" s="39"/>
      <c r="T113" s="39"/>
      <c r="U113" s="39"/>
      <c r="V113" s="39"/>
    </row>
    <row r="114" ht="14.25" customHeight="1">
      <c r="A114" s="20">
        <f t="shared" si="23"/>
        <v>11.16</v>
      </c>
      <c r="B114" s="22" t="s">
        <v>761</v>
      </c>
      <c r="C114" s="22" t="s">
        <v>762</v>
      </c>
      <c r="D114" s="22" t="s">
        <v>874</v>
      </c>
      <c r="E114" s="22" t="s">
        <v>875</v>
      </c>
      <c r="F114" s="22" t="s">
        <v>876</v>
      </c>
      <c r="G114" s="22" t="s">
        <v>877</v>
      </c>
      <c r="H114" s="22" t="s">
        <v>878</v>
      </c>
      <c r="I114" s="22" t="s">
        <v>879</v>
      </c>
      <c r="J114" s="22" t="s">
        <v>880</v>
      </c>
      <c r="K114" s="22"/>
      <c r="L114" s="22">
        <f t="shared" si="22"/>
        <v>877</v>
      </c>
      <c r="M114" s="22"/>
      <c r="N114" s="24" t="s">
        <v>820</v>
      </c>
      <c r="O114" s="39"/>
      <c r="P114" s="39"/>
      <c r="Q114" s="39"/>
      <c r="R114" s="39"/>
      <c r="S114" s="39"/>
      <c r="T114" s="39"/>
      <c r="U114" s="39"/>
      <c r="V114" s="39"/>
    </row>
    <row r="115" ht="14.25" customHeight="1">
      <c r="A115" s="37">
        <v>12.1</v>
      </c>
      <c r="B115" s="36" t="s">
        <v>881</v>
      </c>
      <c r="C115" s="36" t="s">
        <v>882</v>
      </c>
      <c r="D115" s="36" t="s">
        <v>883</v>
      </c>
      <c r="E115" s="36" t="s">
        <v>884</v>
      </c>
      <c r="F115" s="36" t="s">
        <v>885</v>
      </c>
      <c r="G115" s="36" t="s">
        <v>886</v>
      </c>
      <c r="H115" s="36" t="s">
        <v>887</v>
      </c>
      <c r="I115" s="36" t="s">
        <v>888</v>
      </c>
      <c r="J115" s="36" t="s">
        <v>889</v>
      </c>
      <c r="K115" s="36"/>
      <c r="L115" s="38">
        <v>878.0</v>
      </c>
      <c r="M115" s="36" t="s">
        <v>890</v>
      </c>
      <c r="N115" s="25" t="s">
        <v>142</v>
      </c>
      <c r="O115" s="39"/>
      <c r="P115" s="39"/>
      <c r="Q115" s="39"/>
      <c r="R115" s="39"/>
      <c r="S115" s="39"/>
      <c r="T115" s="39"/>
      <c r="U115" s="39"/>
      <c r="V115" s="39"/>
    </row>
    <row r="116" ht="14.25" customHeight="1">
      <c r="A116" s="15">
        <f t="shared" ref="A116:A123" si="24">+A115+0.1</f>
        <v>12.2</v>
      </c>
      <c r="B116" s="2" t="s">
        <v>881</v>
      </c>
      <c r="C116" s="2" t="s">
        <v>882</v>
      </c>
      <c r="D116" s="2" t="s">
        <v>891</v>
      </c>
      <c r="E116" s="2" t="s">
        <v>892</v>
      </c>
      <c r="F116" s="2" t="s">
        <v>893</v>
      </c>
      <c r="G116" s="2" t="s">
        <v>894</v>
      </c>
      <c r="H116" s="2" t="s">
        <v>895</v>
      </c>
      <c r="I116" s="2" t="s">
        <v>896</v>
      </c>
      <c r="J116" s="2" t="s">
        <v>897</v>
      </c>
      <c r="K116" s="2"/>
      <c r="L116" s="40">
        <f t="shared" ref="L116:L131" si="25">L115+1</f>
        <v>879</v>
      </c>
      <c r="M116" s="2"/>
      <c r="N116" s="26" t="s">
        <v>142</v>
      </c>
      <c r="O116" s="39"/>
      <c r="P116" s="39"/>
      <c r="Q116" s="39"/>
      <c r="R116" s="39"/>
      <c r="S116" s="39"/>
      <c r="T116" s="39"/>
      <c r="U116" s="39"/>
      <c r="V116" s="39"/>
    </row>
    <row r="117" ht="14.25" customHeight="1">
      <c r="A117" s="15">
        <f t="shared" si="24"/>
        <v>12.3</v>
      </c>
      <c r="B117" s="2" t="s">
        <v>881</v>
      </c>
      <c r="C117" s="2" t="s">
        <v>882</v>
      </c>
      <c r="D117" s="2" t="s">
        <v>898</v>
      </c>
      <c r="E117" s="2" t="s">
        <v>899</v>
      </c>
      <c r="F117" s="2" t="s">
        <v>900</v>
      </c>
      <c r="G117" s="2" t="s">
        <v>901</v>
      </c>
      <c r="H117" s="2" t="s">
        <v>902</v>
      </c>
      <c r="I117" s="2" t="s">
        <v>903</v>
      </c>
      <c r="J117" s="2" t="s">
        <v>904</v>
      </c>
      <c r="K117" s="2"/>
      <c r="L117" s="40">
        <f t="shared" si="25"/>
        <v>880</v>
      </c>
      <c r="M117" s="2"/>
      <c r="N117" s="26" t="s">
        <v>142</v>
      </c>
      <c r="O117" s="39"/>
      <c r="P117" s="39"/>
      <c r="Q117" s="39"/>
      <c r="R117" s="39"/>
      <c r="S117" s="39"/>
      <c r="T117" s="39"/>
      <c r="U117" s="39"/>
      <c r="V117" s="39"/>
    </row>
    <row r="118" ht="14.25" customHeight="1">
      <c r="A118" s="15">
        <f t="shared" si="24"/>
        <v>12.4</v>
      </c>
      <c r="B118" s="2" t="s">
        <v>881</v>
      </c>
      <c r="C118" s="2" t="s">
        <v>882</v>
      </c>
      <c r="D118" s="2" t="s">
        <v>905</v>
      </c>
      <c r="E118" s="2" t="s">
        <v>906</v>
      </c>
      <c r="F118" s="2" t="s">
        <v>907</v>
      </c>
      <c r="G118" s="2" t="s">
        <v>908</v>
      </c>
      <c r="H118" s="2" t="s">
        <v>909</v>
      </c>
      <c r="I118" s="2" t="s">
        <v>910</v>
      </c>
      <c r="J118" s="2" t="s">
        <v>911</v>
      </c>
      <c r="K118" s="2"/>
      <c r="L118" s="40">
        <f t="shared" si="25"/>
        <v>881</v>
      </c>
      <c r="M118" s="2"/>
      <c r="N118" s="26" t="s">
        <v>142</v>
      </c>
      <c r="O118" s="39"/>
      <c r="P118" s="39"/>
      <c r="Q118" s="39"/>
      <c r="R118" s="39"/>
      <c r="S118" s="39"/>
      <c r="T118" s="39"/>
      <c r="U118" s="39"/>
      <c r="V118" s="39"/>
    </row>
    <row r="119" ht="14.25" customHeight="1">
      <c r="A119" s="15">
        <f t="shared" si="24"/>
        <v>12.5</v>
      </c>
      <c r="B119" s="2" t="s">
        <v>881</v>
      </c>
      <c r="C119" s="2" t="s">
        <v>882</v>
      </c>
      <c r="D119" s="2" t="s">
        <v>912</v>
      </c>
      <c r="E119" s="2" t="s">
        <v>913</v>
      </c>
      <c r="F119" s="2" t="s">
        <v>914</v>
      </c>
      <c r="G119" s="2" t="s">
        <v>915</v>
      </c>
      <c r="H119" s="2" t="s">
        <v>916</v>
      </c>
      <c r="I119" s="2" t="s">
        <v>917</v>
      </c>
      <c r="J119" s="2" t="s">
        <v>918</v>
      </c>
      <c r="K119" s="2"/>
      <c r="L119" s="40">
        <f t="shared" si="25"/>
        <v>882</v>
      </c>
      <c r="M119" s="2" t="s">
        <v>919</v>
      </c>
      <c r="N119" s="26" t="s">
        <v>142</v>
      </c>
      <c r="O119" s="39"/>
      <c r="P119" s="39"/>
      <c r="Q119" s="39"/>
      <c r="R119" s="39"/>
      <c r="S119" s="39"/>
      <c r="T119" s="39"/>
      <c r="U119" s="39"/>
      <c r="V119" s="39"/>
    </row>
    <row r="120" ht="14.25" customHeight="1">
      <c r="A120" s="15">
        <f t="shared" si="24"/>
        <v>12.6</v>
      </c>
      <c r="B120" s="2" t="s">
        <v>881</v>
      </c>
      <c r="C120" s="2" t="s">
        <v>882</v>
      </c>
      <c r="D120" s="2" t="s">
        <v>920</v>
      </c>
      <c r="E120" s="2" t="s">
        <v>921</v>
      </c>
      <c r="F120" s="2" t="s">
        <v>922</v>
      </c>
      <c r="G120" s="2" t="s">
        <v>923</v>
      </c>
      <c r="H120" s="2" t="s">
        <v>924</v>
      </c>
      <c r="I120" s="2" t="s">
        <v>925</v>
      </c>
      <c r="J120" s="2" t="s">
        <v>926</v>
      </c>
      <c r="K120" s="2"/>
      <c r="L120" s="40">
        <f t="shared" si="25"/>
        <v>883</v>
      </c>
      <c r="M120" s="2"/>
      <c r="N120" s="26" t="s">
        <v>142</v>
      </c>
      <c r="O120" s="39"/>
      <c r="P120" s="39"/>
      <c r="Q120" s="39"/>
      <c r="R120" s="39"/>
      <c r="S120" s="39"/>
      <c r="T120" s="39"/>
      <c r="U120" s="39"/>
      <c r="V120" s="39"/>
    </row>
    <row r="121" ht="14.25" customHeight="1">
      <c r="A121" s="15">
        <f t="shared" si="24"/>
        <v>12.7</v>
      </c>
      <c r="B121" s="2" t="s">
        <v>881</v>
      </c>
      <c r="C121" s="2" t="s">
        <v>882</v>
      </c>
      <c r="D121" s="2" t="s">
        <v>927</v>
      </c>
      <c r="E121" s="2" t="s">
        <v>928</v>
      </c>
      <c r="F121" s="2" t="s">
        <v>929</v>
      </c>
      <c r="G121" s="2" t="s">
        <v>930</v>
      </c>
      <c r="H121" s="2" t="s">
        <v>931</v>
      </c>
      <c r="I121" s="2" t="s">
        <v>932</v>
      </c>
      <c r="J121" s="2" t="s">
        <v>933</v>
      </c>
      <c r="K121" s="2"/>
      <c r="L121" s="40">
        <f t="shared" si="25"/>
        <v>884</v>
      </c>
      <c r="M121" s="2" t="s">
        <v>934</v>
      </c>
      <c r="N121" s="26" t="s">
        <v>142</v>
      </c>
      <c r="O121" s="39"/>
      <c r="P121" s="39"/>
      <c r="Q121" s="39"/>
      <c r="R121" s="39"/>
      <c r="S121" s="39"/>
      <c r="T121" s="39"/>
      <c r="U121" s="39"/>
      <c r="V121" s="39"/>
    </row>
    <row r="122" ht="14.25" customHeight="1">
      <c r="A122" s="15">
        <f t="shared" si="24"/>
        <v>12.8</v>
      </c>
      <c r="B122" s="2" t="s">
        <v>881</v>
      </c>
      <c r="C122" s="2" t="s">
        <v>882</v>
      </c>
      <c r="D122" s="2" t="s">
        <v>935</v>
      </c>
      <c r="E122" s="2" t="s">
        <v>936</v>
      </c>
      <c r="F122" s="2" t="s">
        <v>937</v>
      </c>
      <c r="G122" s="2" t="s">
        <v>938</v>
      </c>
      <c r="H122" s="2" t="s">
        <v>939</v>
      </c>
      <c r="I122" s="2" t="s">
        <v>940</v>
      </c>
      <c r="J122" s="2" t="s">
        <v>941</v>
      </c>
      <c r="K122" s="2"/>
      <c r="L122" s="40">
        <f t="shared" si="25"/>
        <v>885</v>
      </c>
      <c r="M122" s="39"/>
      <c r="N122" s="26" t="s">
        <v>142</v>
      </c>
      <c r="O122" s="39"/>
      <c r="P122" s="39"/>
      <c r="Q122" s="39"/>
      <c r="R122" s="39"/>
      <c r="S122" s="39"/>
      <c r="T122" s="39"/>
      <c r="U122" s="39"/>
      <c r="V122" s="39"/>
    </row>
    <row r="123" ht="14.25" customHeight="1">
      <c r="A123" s="15">
        <f t="shared" si="24"/>
        <v>12.9</v>
      </c>
      <c r="B123" s="2" t="s">
        <v>881</v>
      </c>
      <c r="C123" s="2" t="s">
        <v>882</v>
      </c>
      <c r="D123" s="2" t="s">
        <v>942</v>
      </c>
      <c r="E123" s="2" t="s">
        <v>943</v>
      </c>
      <c r="F123" s="2" t="s">
        <v>944</v>
      </c>
      <c r="G123" s="2" t="s">
        <v>945</v>
      </c>
      <c r="H123" s="2" t="s">
        <v>946</v>
      </c>
      <c r="I123" s="2" t="s">
        <v>947</v>
      </c>
      <c r="J123" s="2" t="s">
        <v>948</v>
      </c>
      <c r="K123" s="2"/>
      <c r="L123" s="40">
        <f t="shared" si="25"/>
        <v>886</v>
      </c>
      <c r="M123" s="39" t="s">
        <v>949</v>
      </c>
      <c r="N123" s="26" t="s">
        <v>142</v>
      </c>
      <c r="O123" s="39"/>
      <c r="P123" s="39"/>
      <c r="Q123" s="39"/>
      <c r="R123" s="39"/>
      <c r="S123" s="39"/>
      <c r="T123" s="39"/>
      <c r="U123" s="39"/>
      <c r="V123" s="39"/>
    </row>
    <row r="124" ht="14.25" customHeight="1">
      <c r="A124" s="15" t="s">
        <v>950</v>
      </c>
      <c r="B124" s="2" t="s">
        <v>881</v>
      </c>
      <c r="C124" s="2" t="s">
        <v>882</v>
      </c>
      <c r="D124" s="2" t="s">
        <v>951</v>
      </c>
      <c r="E124" s="2" t="s">
        <v>952</v>
      </c>
      <c r="F124" s="2" t="s">
        <v>953</v>
      </c>
      <c r="G124" s="2" t="s">
        <v>954</v>
      </c>
      <c r="H124" s="2" t="s">
        <v>955</v>
      </c>
      <c r="I124" s="2" t="s">
        <v>956</v>
      </c>
      <c r="J124" s="2" t="s">
        <v>957</v>
      </c>
      <c r="K124" s="2"/>
      <c r="L124" s="40">
        <f t="shared" si="25"/>
        <v>887</v>
      </c>
      <c r="M124" s="2"/>
      <c r="N124" s="26" t="s">
        <v>142</v>
      </c>
      <c r="O124" s="39"/>
      <c r="P124" s="39"/>
      <c r="Q124" s="39"/>
      <c r="R124" s="39"/>
      <c r="S124" s="39"/>
      <c r="T124" s="39"/>
      <c r="U124" s="39"/>
      <c r="V124" s="39"/>
    </row>
    <row r="125" ht="14.25" customHeight="1">
      <c r="A125" s="15">
        <v>12.11</v>
      </c>
      <c r="B125" s="2" t="s">
        <v>881</v>
      </c>
      <c r="C125" s="2" t="s">
        <v>882</v>
      </c>
      <c r="D125" s="2" t="s">
        <v>958</v>
      </c>
      <c r="E125" s="2" t="s">
        <v>959</v>
      </c>
      <c r="F125" s="2" t="s">
        <v>960</v>
      </c>
      <c r="G125" s="2" t="s">
        <v>961</v>
      </c>
      <c r="H125" s="2" t="s">
        <v>962</v>
      </c>
      <c r="I125" s="2" t="s">
        <v>963</v>
      </c>
      <c r="J125" s="2" t="s">
        <v>964</v>
      </c>
      <c r="K125" s="2"/>
      <c r="L125" s="40">
        <f t="shared" si="25"/>
        <v>888</v>
      </c>
      <c r="M125" s="2"/>
      <c r="N125" s="26" t="s">
        <v>142</v>
      </c>
      <c r="O125" s="39"/>
      <c r="P125" s="39"/>
      <c r="Q125" s="39"/>
      <c r="R125" s="39"/>
      <c r="S125" s="39"/>
      <c r="T125" s="39"/>
      <c r="U125" s="39"/>
      <c r="V125" s="39"/>
    </row>
    <row r="126" ht="14.25" customHeight="1">
      <c r="A126" s="15">
        <f t="shared" ref="A126:A131" si="26">+A125+0.01</f>
        <v>12.12</v>
      </c>
      <c r="B126" s="2" t="s">
        <v>881</v>
      </c>
      <c r="C126" s="2" t="s">
        <v>882</v>
      </c>
      <c r="D126" s="2" t="s">
        <v>965</v>
      </c>
      <c r="E126" s="2" t="s">
        <v>966</v>
      </c>
      <c r="F126" s="2" t="s">
        <v>967</v>
      </c>
      <c r="G126" s="2" t="s">
        <v>968</v>
      </c>
      <c r="H126" s="2" t="s">
        <v>969</v>
      </c>
      <c r="I126" s="2" t="s">
        <v>970</v>
      </c>
      <c r="J126" s="2" t="s">
        <v>971</v>
      </c>
      <c r="K126" s="2"/>
      <c r="L126" s="40">
        <f t="shared" si="25"/>
        <v>889</v>
      </c>
      <c r="M126" s="2"/>
      <c r="N126" s="26" t="s">
        <v>142</v>
      </c>
      <c r="O126" s="39"/>
      <c r="P126" s="39"/>
      <c r="Q126" s="39"/>
      <c r="R126" s="39"/>
      <c r="S126" s="39"/>
      <c r="T126" s="39"/>
      <c r="U126" s="39"/>
      <c r="V126" s="39"/>
    </row>
    <row r="127" ht="14.25" customHeight="1">
      <c r="A127" s="15">
        <f t="shared" si="26"/>
        <v>12.13</v>
      </c>
      <c r="B127" s="2" t="s">
        <v>881</v>
      </c>
      <c r="C127" s="2" t="s">
        <v>882</v>
      </c>
      <c r="D127" s="2" t="s">
        <v>972</v>
      </c>
      <c r="E127" s="2" t="s">
        <v>973</v>
      </c>
      <c r="F127" s="2" t="s">
        <v>974</v>
      </c>
      <c r="G127" s="2" t="s">
        <v>975</v>
      </c>
      <c r="H127" s="2" t="s">
        <v>976</v>
      </c>
      <c r="I127" s="2" t="s">
        <v>977</v>
      </c>
      <c r="J127" s="2" t="s">
        <v>978</v>
      </c>
      <c r="K127" s="2"/>
      <c r="L127" s="40">
        <f t="shared" si="25"/>
        <v>890</v>
      </c>
      <c r="M127" s="2"/>
      <c r="N127" s="26" t="s">
        <v>142</v>
      </c>
      <c r="O127" s="39"/>
      <c r="P127" s="39"/>
      <c r="Q127" s="39"/>
      <c r="R127" s="39"/>
      <c r="S127" s="39"/>
      <c r="T127" s="39"/>
      <c r="U127" s="39"/>
      <c r="V127" s="39"/>
    </row>
    <row r="128" ht="14.25" customHeight="1">
      <c r="A128" s="15">
        <f t="shared" si="26"/>
        <v>12.14</v>
      </c>
      <c r="B128" s="2" t="s">
        <v>881</v>
      </c>
      <c r="C128" s="2" t="s">
        <v>882</v>
      </c>
      <c r="D128" s="2" t="s">
        <v>979</v>
      </c>
      <c r="E128" s="2" t="s">
        <v>980</v>
      </c>
      <c r="F128" s="2" t="s">
        <v>981</v>
      </c>
      <c r="G128" s="2" t="s">
        <v>982</v>
      </c>
      <c r="H128" s="2" t="s">
        <v>983</v>
      </c>
      <c r="I128" s="2" t="s">
        <v>984</v>
      </c>
      <c r="J128" s="2" t="s">
        <v>985</v>
      </c>
      <c r="K128" s="2"/>
      <c r="L128" s="40">
        <f t="shared" si="25"/>
        <v>891</v>
      </c>
      <c r="M128" s="2"/>
      <c r="N128" s="26" t="s">
        <v>142</v>
      </c>
      <c r="O128" s="39"/>
      <c r="P128" s="39"/>
      <c r="Q128" s="39"/>
      <c r="R128" s="39"/>
      <c r="S128" s="39"/>
      <c r="T128" s="39"/>
      <c r="U128" s="39"/>
      <c r="V128" s="39"/>
    </row>
    <row r="129" ht="14.25" customHeight="1">
      <c r="A129" s="15">
        <f t="shared" si="26"/>
        <v>12.15</v>
      </c>
      <c r="B129" s="2" t="s">
        <v>881</v>
      </c>
      <c r="C129" s="2" t="s">
        <v>882</v>
      </c>
      <c r="D129" s="2" t="s">
        <v>986</v>
      </c>
      <c r="E129" s="2" t="s">
        <v>987</v>
      </c>
      <c r="F129" s="2" t="s">
        <v>988</v>
      </c>
      <c r="G129" s="2" t="s">
        <v>989</v>
      </c>
      <c r="H129" s="2" t="s">
        <v>990</v>
      </c>
      <c r="I129" s="2" t="s">
        <v>991</v>
      </c>
      <c r="J129" s="2" t="s">
        <v>992</v>
      </c>
      <c r="K129" s="2"/>
      <c r="L129" s="40">
        <f t="shared" si="25"/>
        <v>892</v>
      </c>
      <c r="M129" s="2"/>
      <c r="N129" s="26" t="s">
        <v>142</v>
      </c>
      <c r="O129" s="39"/>
      <c r="P129" s="39"/>
      <c r="Q129" s="39"/>
      <c r="R129" s="39"/>
      <c r="S129" s="39"/>
      <c r="T129" s="39"/>
      <c r="U129" s="39"/>
      <c r="V129" s="39"/>
    </row>
    <row r="130" ht="14.25" customHeight="1">
      <c r="A130" s="15">
        <f t="shared" si="26"/>
        <v>12.16</v>
      </c>
      <c r="B130" s="2" t="s">
        <v>881</v>
      </c>
      <c r="C130" s="2" t="s">
        <v>882</v>
      </c>
      <c r="D130" s="2" t="s">
        <v>993</v>
      </c>
      <c r="E130" s="2" t="s">
        <v>994</v>
      </c>
      <c r="F130" s="2" t="s">
        <v>995</v>
      </c>
      <c r="G130" s="2" t="s">
        <v>996</v>
      </c>
      <c r="H130" s="2" t="s">
        <v>997</v>
      </c>
      <c r="I130" s="2" t="s">
        <v>998</v>
      </c>
      <c r="J130" s="2" t="s">
        <v>999</v>
      </c>
      <c r="K130" s="2"/>
      <c r="L130" s="40">
        <f t="shared" si="25"/>
        <v>893</v>
      </c>
      <c r="M130" s="2"/>
      <c r="N130" s="26" t="s">
        <v>142</v>
      </c>
      <c r="O130" s="39"/>
      <c r="P130" s="39"/>
      <c r="Q130" s="39"/>
      <c r="R130" s="39"/>
      <c r="S130" s="39"/>
      <c r="T130" s="39"/>
      <c r="U130" s="39"/>
      <c r="V130" s="39"/>
    </row>
    <row r="131" ht="14.25" customHeight="1">
      <c r="A131" s="20">
        <f t="shared" si="26"/>
        <v>12.17</v>
      </c>
      <c r="B131" s="22" t="s">
        <v>881</v>
      </c>
      <c r="C131" s="22" t="s">
        <v>882</v>
      </c>
      <c r="D131" s="22" t="s">
        <v>1000</v>
      </c>
      <c r="E131" s="22" t="s">
        <v>1001</v>
      </c>
      <c r="F131" s="22" t="s">
        <v>1002</v>
      </c>
      <c r="G131" s="22" t="s">
        <v>1003</v>
      </c>
      <c r="H131" s="22" t="s">
        <v>1004</v>
      </c>
      <c r="I131" s="22" t="s">
        <v>1005</v>
      </c>
      <c r="J131" s="22" t="s">
        <v>1006</v>
      </c>
      <c r="K131" s="22"/>
      <c r="L131" s="22">
        <f t="shared" si="25"/>
        <v>894</v>
      </c>
      <c r="M131" s="22"/>
      <c r="N131" s="24" t="s">
        <v>142</v>
      </c>
      <c r="O131" s="39"/>
      <c r="P131" s="39"/>
      <c r="Q131" s="39"/>
      <c r="R131" s="39"/>
      <c r="S131" s="39"/>
      <c r="T131" s="39"/>
      <c r="U131" s="39"/>
      <c r="V131" s="39"/>
    </row>
    <row r="132" ht="14.25" customHeight="1">
      <c r="A132" s="41">
        <v>13.1</v>
      </c>
      <c r="B132" s="39" t="s">
        <v>1007</v>
      </c>
      <c r="C132" s="36" t="s">
        <v>1008</v>
      </c>
      <c r="D132" s="42" t="s">
        <v>1009</v>
      </c>
      <c r="E132" s="36" t="s">
        <v>1010</v>
      </c>
      <c r="F132" s="36" t="s">
        <v>1011</v>
      </c>
      <c r="G132" s="36" t="s">
        <v>1012</v>
      </c>
      <c r="H132" s="36" t="s">
        <v>1013</v>
      </c>
      <c r="I132" s="36" t="s">
        <v>1014</v>
      </c>
      <c r="J132" s="36" t="s">
        <v>1015</v>
      </c>
      <c r="K132" s="36"/>
      <c r="L132" s="38">
        <v>895.0</v>
      </c>
      <c r="M132" s="36" t="s">
        <v>1016</v>
      </c>
      <c r="N132" s="25" t="s">
        <v>1017</v>
      </c>
      <c r="O132" s="39"/>
      <c r="P132" s="39"/>
      <c r="Q132" s="39"/>
      <c r="R132" s="39"/>
      <c r="S132" s="39"/>
      <c r="T132" s="39"/>
      <c r="U132" s="39"/>
      <c r="V132" s="39"/>
    </row>
    <row r="133" ht="14.25" customHeight="1">
      <c r="A133" s="41">
        <f t="shared" ref="A133:A140" si="27">A132+0.1</f>
        <v>13.2</v>
      </c>
      <c r="B133" s="39" t="s">
        <v>1007</v>
      </c>
      <c r="C133" s="2" t="s">
        <v>1008</v>
      </c>
      <c r="D133" s="42" t="s">
        <v>1018</v>
      </c>
      <c r="E133" s="36" t="s">
        <v>1019</v>
      </c>
      <c r="F133" s="36" t="s">
        <v>1020</v>
      </c>
      <c r="G133" s="36" t="s">
        <v>1021</v>
      </c>
      <c r="H133" s="36" t="s">
        <v>1022</v>
      </c>
      <c r="I133" s="36" t="s">
        <v>1023</v>
      </c>
      <c r="J133" s="36" t="s">
        <v>1024</v>
      </c>
      <c r="K133" s="36"/>
      <c r="L133" s="40">
        <f t="shared" ref="L133:L151" si="28">L132+1</f>
        <v>896</v>
      </c>
      <c r="M133" s="36" t="s">
        <v>1025</v>
      </c>
      <c r="N133" s="25" t="s">
        <v>1017</v>
      </c>
      <c r="O133" s="39"/>
      <c r="P133" s="39"/>
      <c r="Q133" s="39"/>
      <c r="R133" s="39"/>
      <c r="S133" s="39"/>
      <c r="T133" s="39"/>
      <c r="U133" s="39"/>
      <c r="V133" s="39"/>
    </row>
    <row r="134" ht="14.25" customHeight="1">
      <c r="A134" s="41">
        <f t="shared" si="27"/>
        <v>13.3</v>
      </c>
      <c r="B134" s="39" t="s">
        <v>1007</v>
      </c>
      <c r="C134" s="2" t="s">
        <v>1008</v>
      </c>
      <c r="D134" s="42" t="s">
        <v>1026</v>
      </c>
      <c r="E134" s="36" t="s">
        <v>1027</v>
      </c>
      <c r="F134" s="36" t="s">
        <v>1028</v>
      </c>
      <c r="G134" s="36" t="s">
        <v>1029</v>
      </c>
      <c r="H134" s="36" t="s">
        <v>1030</v>
      </c>
      <c r="I134" s="36" t="s">
        <v>1031</v>
      </c>
      <c r="J134" s="36" t="s">
        <v>1032</v>
      </c>
      <c r="K134" s="36"/>
      <c r="L134" s="40">
        <f t="shared" si="28"/>
        <v>897</v>
      </c>
      <c r="M134" s="36"/>
      <c r="N134" s="25" t="s">
        <v>1017</v>
      </c>
      <c r="O134" s="39"/>
      <c r="P134" s="39"/>
      <c r="Q134" s="39"/>
      <c r="R134" s="39"/>
      <c r="S134" s="39"/>
      <c r="T134" s="39"/>
      <c r="U134" s="39"/>
      <c r="V134" s="39"/>
    </row>
    <row r="135" ht="14.25" customHeight="1">
      <c r="A135" s="41">
        <f t="shared" si="27"/>
        <v>13.4</v>
      </c>
      <c r="B135" s="39" t="s">
        <v>1007</v>
      </c>
      <c r="C135" s="2" t="s">
        <v>1008</v>
      </c>
      <c r="D135" s="42" t="s">
        <v>1033</v>
      </c>
      <c r="E135" s="36" t="s">
        <v>1034</v>
      </c>
      <c r="F135" s="36" t="s">
        <v>1035</v>
      </c>
      <c r="G135" s="36" t="s">
        <v>1036</v>
      </c>
      <c r="H135" s="36" t="s">
        <v>1037</v>
      </c>
      <c r="I135" s="36" t="s">
        <v>1038</v>
      </c>
      <c r="J135" s="36" t="s">
        <v>1039</v>
      </c>
      <c r="K135" s="36"/>
      <c r="L135" s="40">
        <f t="shared" si="28"/>
        <v>898</v>
      </c>
      <c r="M135" s="36"/>
      <c r="N135" s="25" t="s">
        <v>1017</v>
      </c>
      <c r="O135" s="39"/>
      <c r="P135" s="39"/>
      <c r="Q135" s="39"/>
      <c r="R135" s="39"/>
      <c r="S135" s="39"/>
      <c r="T135" s="39"/>
      <c r="U135" s="39"/>
      <c r="V135" s="39"/>
    </row>
    <row r="136" ht="14.25" customHeight="1">
      <c r="A136" s="41">
        <f t="shared" si="27"/>
        <v>13.5</v>
      </c>
      <c r="B136" s="39" t="s">
        <v>1007</v>
      </c>
      <c r="C136" s="2" t="s">
        <v>1008</v>
      </c>
      <c r="D136" s="42" t="s">
        <v>1040</v>
      </c>
      <c r="E136" s="36" t="s">
        <v>1041</v>
      </c>
      <c r="F136" s="36" t="s">
        <v>1042</v>
      </c>
      <c r="G136" s="36" t="s">
        <v>1043</v>
      </c>
      <c r="H136" s="36" t="s">
        <v>1044</v>
      </c>
      <c r="I136" s="36" t="s">
        <v>1045</v>
      </c>
      <c r="J136" s="36" t="s">
        <v>1046</v>
      </c>
      <c r="K136" s="36"/>
      <c r="L136" s="40">
        <f t="shared" si="28"/>
        <v>899</v>
      </c>
      <c r="M136" s="36"/>
      <c r="N136" s="25" t="s">
        <v>1017</v>
      </c>
      <c r="O136" s="39"/>
      <c r="P136" s="39"/>
      <c r="Q136" s="39"/>
      <c r="R136" s="39"/>
      <c r="S136" s="39"/>
      <c r="T136" s="39"/>
      <c r="U136" s="39"/>
      <c r="V136" s="39"/>
    </row>
    <row r="137" ht="14.25" customHeight="1">
      <c r="A137" s="41">
        <f t="shared" si="27"/>
        <v>13.6</v>
      </c>
      <c r="B137" s="39" t="s">
        <v>1007</v>
      </c>
      <c r="C137" s="2" t="s">
        <v>1008</v>
      </c>
      <c r="D137" s="42" t="s">
        <v>1047</v>
      </c>
      <c r="E137" s="36" t="s">
        <v>1048</v>
      </c>
      <c r="F137" s="36" t="s">
        <v>1049</v>
      </c>
      <c r="G137" s="36" t="s">
        <v>1050</v>
      </c>
      <c r="H137" s="36" t="s">
        <v>1051</v>
      </c>
      <c r="I137" s="36" t="s">
        <v>1052</v>
      </c>
      <c r="J137" s="36" t="s">
        <v>1053</v>
      </c>
      <c r="K137" s="36"/>
      <c r="L137" s="40">
        <f t="shared" si="28"/>
        <v>900</v>
      </c>
      <c r="M137" s="36" t="s">
        <v>1054</v>
      </c>
      <c r="N137" s="25" t="s">
        <v>1017</v>
      </c>
      <c r="O137" s="39"/>
      <c r="P137" s="39"/>
      <c r="Q137" s="39"/>
      <c r="R137" s="39"/>
      <c r="S137" s="39"/>
      <c r="T137" s="39"/>
      <c r="U137" s="39"/>
      <c r="V137" s="39"/>
    </row>
    <row r="138" ht="14.25" customHeight="1">
      <c r="A138" s="41">
        <f t="shared" si="27"/>
        <v>13.7</v>
      </c>
      <c r="B138" s="39" t="s">
        <v>1007</v>
      </c>
      <c r="C138" s="2" t="s">
        <v>1008</v>
      </c>
      <c r="D138" s="42" t="s">
        <v>1055</v>
      </c>
      <c r="E138" s="36" t="s">
        <v>1056</v>
      </c>
      <c r="F138" s="36" t="s">
        <v>1057</v>
      </c>
      <c r="G138" s="36" t="s">
        <v>1058</v>
      </c>
      <c r="H138" s="36" t="s">
        <v>1059</v>
      </c>
      <c r="I138" s="36" t="s">
        <v>1060</v>
      </c>
      <c r="J138" s="36" t="s">
        <v>1061</v>
      </c>
      <c r="K138" s="36"/>
      <c r="L138" s="40">
        <f t="shared" si="28"/>
        <v>901</v>
      </c>
      <c r="M138" s="36" t="s">
        <v>1062</v>
      </c>
      <c r="N138" s="25" t="s">
        <v>1017</v>
      </c>
      <c r="O138" s="39"/>
      <c r="P138" s="39"/>
      <c r="Q138" s="39"/>
      <c r="R138" s="39"/>
      <c r="S138" s="39"/>
      <c r="T138" s="39"/>
      <c r="U138" s="39"/>
      <c r="V138" s="39"/>
    </row>
    <row r="139" ht="14.25" customHeight="1">
      <c r="A139" s="41">
        <f t="shared" si="27"/>
        <v>13.8</v>
      </c>
      <c r="B139" s="39" t="s">
        <v>1007</v>
      </c>
      <c r="C139" s="2" t="s">
        <v>1008</v>
      </c>
      <c r="D139" s="42" t="s">
        <v>1063</v>
      </c>
      <c r="E139" s="36" t="s">
        <v>1064</v>
      </c>
      <c r="F139" s="36" t="s">
        <v>1065</v>
      </c>
      <c r="G139" s="36" t="s">
        <v>1066</v>
      </c>
      <c r="H139" s="36" t="s">
        <v>1067</v>
      </c>
      <c r="I139" s="36" t="s">
        <v>1068</v>
      </c>
      <c r="J139" s="36" t="s">
        <v>1069</v>
      </c>
      <c r="K139" s="36"/>
      <c r="L139" s="40">
        <f t="shared" si="28"/>
        <v>902</v>
      </c>
      <c r="M139" s="36" t="s">
        <v>890</v>
      </c>
      <c r="N139" s="25" t="s">
        <v>1017</v>
      </c>
      <c r="O139" s="39"/>
      <c r="P139" s="39"/>
      <c r="Q139" s="39"/>
      <c r="R139" s="39"/>
      <c r="S139" s="39"/>
      <c r="T139" s="39"/>
      <c r="U139" s="39"/>
      <c r="V139" s="39"/>
    </row>
    <row r="140" ht="14.25" customHeight="1">
      <c r="A140" s="41">
        <f t="shared" si="27"/>
        <v>13.9</v>
      </c>
      <c r="B140" s="39" t="s">
        <v>1007</v>
      </c>
      <c r="C140" s="2" t="s">
        <v>1008</v>
      </c>
      <c r="D140" s="42" t="s">
        <v>1070</v>
      </c>
      <c r="E140" s="36" t="s">
        <v>1071</v>
      </c>
      <c r="F140" s="36" t="s">
        <v>1072</v>
      </c>
      <c r="G140" s="36" t="s">
        <v>1073</v>
      </c>
      <c r="H140" s="36" t="s">
        <v>1074</v>
      </c>
      <c r="I140" s="36" t="s">
        <v>1075</v>
      </c>
      <c r="J140" s="36" t="s">
        <v>1076</v>
      </c>
      <c r="K140" s="36"/>
      <c r="L140" s="40">
        <f t="shared" si="28"/>
        <v>903</v>
      </c>
      <c r="M140" s="36" t="s">
        <v>890</v>
      </c>
      <c r="N140" s="25" t="s">
        <v>142</v>
      </c>
      <c r="O140" s="39"/>
      <c r="P140" s="39"/>
      <c r="Q140" s="39"/>
      <c r="R140" s="39"/>
      <c r="S140" s="39"/>
      <c r="T140" s="39"/>
      <c r="U140" s="39"/>
      <c r="V140" s="39"/>
    </row>
    <row r="141" ht="14.25" customHeight="1">
      <c r="A141" s="41" t="s">
        <v>1077</v>
      </c>
      <c r="B141" s="39" t="s">
        <v>1007</v>
      </c>
      <c r="C141" s="2" t="s">
        <v>1008</v>
      </c>
      <c r="D141" s="42" t="s">
        <v>1078</v>
      </c>
      <c r="E141" s="36" t="s">
        <v>1079</v>
      </c>
      <c r="F141" s="36" t="s">
        <v>1080</v>
      </c>
      <c r="G141" s="36" t="s">
        <v>1081</v>
      </c>
      <c r="H141" s="36" t="s">
        <v>1082</v>
      </c>
      <c r="I141" s="36" t="s">
        <v>1083</v>
      </c>
      <c r="J141" s="36" t="s">
        <v>1084</v>
      </c>
      <c r="K141" s="36"/>
      <c r="L141" s="40">
        <f t="shared" si="28"/>
        <v>904</v>
      </c>
      <c r="M141" s="36"/>
      <c r="N141" s="25" t="s">
        <v>142</v>
      </c>
      <c r="O141" s="39"/>
      <c r="P141" s="39"/>
      <c r="Q141" s="39"/>
      <c r="R141" s="39"/>
      <c r="S141" s="39"/>
      <c r="T141" s="39"/>
      <c r="U141" s="39"/>
      <c r="V141" s="39"/>
    </row>
    <row r="142" ht="14.25" customHeight="1">
      <c r="A142" s="41">
        <v>13.11</v>
      </c>
      <c r="B142" s="39" t="s">
        <v>1007</v>
      </c>
      <c r="C142" s="2" t="s">
        <v>1008</v>
      </c>
      <c r="D142" s="42" t="s">
        <v>1085</v>
      </c>
      <c r="E142" s="36" t="s">
        <v>1086</v>
      </c>
      <c r="F142" s="36" t="s">
        <v>1087</v>
      </c>
      <c r="G142" s="36" t="s">
        <v>1088</v>
      </c>
      <c r="H142" s="36" t="s">
        <v>1089</v>
      </c>
      <c r="I142" s="36" t="s">
        <v>1090</v>
      </c>
      <c r="J142" s="36" t="s">
        <v>1091</v>
      </c>
      <c r="K142" s="36"/>
      <c r="L142" s="40">
        <f t="shared" si="28"/>
        <v>905</v>
      </c>
      <c r="M142" s="36"/>
      <c r="N142" s="25" t="s">
        <v>142</v>
      </c>
      <c r="O142" s="39"/>
      <c r="P142" s="39"/>
      <c r="Q142" s="39"/>
      <c r="R142" s="39"/>
      <c r="S142" s="39"/>
      <c r="T142" s="39"/>
      <c r="U142" s="39"/>
      <c r="V142" s="39"/>
    </row>
    <row r="143" ht="14.25" customHeight="1">
      <c r="A143" s="41">
        <f t="shared" ref="A143:A150" si="29">A142+0.01</f>
        <v>13.12</v>
      </c>
      <c r="B143" s="39" t="s">
        <v>1007</v>
      </c>
      <c r="C143" s="2" t="s">
        <v>1008</v>
      </c>
      <c r="D143" s="42" t="s">
        <v>1092</v>
      </c>
      <c r="E143" s="36" t="s">
        <v>1093</v>
      </c>
      <c r="F143" s="36" t="s">
        <v>1094</v>
      </c>
      <c r="G143" s="36" t="s">
        <v>1095</v>
      </c>
      <c r="H143" s="36" t="s">
        <v>1096</v>
      </c>
      <c r="I143" s="36" t="s">
        <v>1097</v>
      </c>
      <c r="J143" s="36" t="s">
        <v>1098</v>
      </c>
      <c r="K143" s="36"/>
      <c r="L143" s="40">
        <f t="shared" si="28"/>
        <v>906</v>
      </c>
      <c r="M143" s="36" t="s">
        <v>1099</v>
      </c>
      <c r="N143" s="25" t="s">
        <v>142</v>
      </c>
      <c r="O143" s="39"/>
      <c r="P143" s="39"/>
      <c r="Q143" s="39"/>
      <c r="R143" s="39"/>
      <c r="S143" s="39"/>
      <c r="T143" s="39"/>
      <c r="U143" s="39"/>
      <c r="V143" s="39"/>
    </row>
    <row r="144" ht="14.25" customHeight="1">
      <c r="A144" s="41">
        <f t="shared" si="29"/>
        <v>13.13</v>
      </c>
      <c r="B144" s="39" t="s">
        <v>1007</v>
      </c>
      <c r="C144" s="2" t="s">
        <v>1008</v>
      </c>
      <c r="D144" s="42" t="s">
        <v>1100</v>
      </c>
      <c r="E144" s="36" t="s">
        <v>1101</v>
      </c>
      <c r="F144" s="36" t="s">
        <v>1102</v>
      </c>
      <c r="G144" s="36" t="s">
        <v>1103</v>
      </c>
      <c r="H144" s="36" t="s">
        <v>1104</v>
      </c>
      <c r="I144" s="36" t="s">
        <v>1105</v>
      </c>
      <c r="J144" s="36" t="s">
        <v>1106</v>
      </c>
      <c r="K144" s="36"/>
      <c r="L144" s="40">
        <f t="shared" si="28"/>
        <v>907</v>
      </c>
      <c r="M144" s="36" t="s">
        <v>1107</v>
      </c>
      <c r="N144" s="25" t="s">
        <v>142</v>
      </c>
      <c r="O144" s="39"/>
      <c r="P144" s="39"/>
      <c r="Q144" s="39"/>
      <c r="R144" s="39"/>
      <c r="S144" s="39"/>
      <c r="T144" s="39"/>
      <c r="U144" s="39"/>
      <c r="V144" s="39"/>
    </row>
    <row r="145" ht="14.25" customHeight="1">
      <c r="A145" s="41">
        <f t="shared" si="29"/>
        <v>13.14</v>
      </c>
      <c r="B145" s="39" t="s">
        <v>1007</v>
      </c>
      <c r="C145" s="2" t="s">
        <v>1008</v>
      </c>
      <c r="D145" s="42" t="s">
        <v>1108</v>
      </c>
      <c r="E145" s="36" t="s">
        <v>1109</v>
      </c>
      <c r="F145" s="36" t="s">
        <v>1110</v>
      </c>
      <c r="G145" s="36" t="s">
        <v>1111</v>
      </c>
      <c r="H145" s="36" t="s">
        <v>1112</v>
      </c>
      <c r="I145" s="36" t="s">
        <v>1113</v>
      </c>
      <c r="J145" s="36" t="s">
        <v>1114</v>
      </c>
      <c r="K145" s="36"/>
      <c r="L145" s="40">
        <f t="shared" si="28"/>
        <v>908</v>
      </c>
      <c r="M145" s="36" t="s">
        <v>890</v>
      </c>
      <c r="N145" s="25" t="s">
        <v>142</v>
      </c>
      <c r="O145" s="39"/>
      <c r="P145" s="39"/>
      <c r="Q145" s="39"/>
      <c r="R145" s="39"/>
      <c r="S145" s="39"/>
      <c r="T145" s="39"/>
      <c r="U145" s="39"/>
      <c r="V145" s="39"/>
    </row>
    <row r="146" ht="14.25" customHeight="1">
      <c r="A146" s="41">
        <f t="shared" si="29"/>
        <v>13.15</v>
      </c>
      <c r="B146" s="39" t="s">
        <v>1007</v>
      </c>
      <c r="C146" s="2" t="s">
        <v>1008</v>
      </c>
      <c r="D146" s="42" t="s">
        <v>1115</v>
      </c>
      <c r="E146" s="36" t="s">
        <v>1116</v>
      </c>
      <c r="F146" s="36" t="s">
        <v>1117</v>
      </c>
      <c r="G146" s="36" t="s">
        <v>1118</v>
      </c>
      <c r="H146" s="36" t="s">
        <v>1119</v>
      </c>
      <c r="I146" s="36" t="s">
        <v>1120</v>
      </c>
      <c r="J146" s="36" t="s">
        <v>1121</v>
      </c>
      <c r="K146" s="36"/>
      <c r="L146" s="40">
        <f t="shared" si="28"/>
        <v>909</v>
      </c>
      <c r="M146" s="36"/>
      <c r="N146" s="25" t="s">
        <v>142</v>
      </c>
      <c r="O146" s="39"/>
      <c r="P146" s="39"/>
      <c r="Q146" s="39"/>
      <c r="R146" s="39"/>
      <c r="S146" s="39"/>
      <c r="T146" s="39"/>
      <c r="U146" s="39"/>
      <c r="V146" s="39"/>
    </row>
    <row r="147" ht="14.25" customHeight="1">
      <c r="A147" s="41">
        <f t="shared" si="29"/>
        <v>13.16</v>
      </c>
      <c r="B147" s="39" t="s">
        <v>1007</v>
      </c>
      <c r="C147" s="2" t="s">
        <v>1008</v>
      </c>
      <c r="D147" s="42" t="s">
        <v>1122</v>
      </c>
      <c r="E147" s="36" t="s">
        <v>1123</v>
      </c>
      <c r="F147" s="36" t="s">
        <v>1124</v>
      </c>
      <c r="G147" s="36" t="s">
        <v>1125</v>
      </c>
      <c r="H147" s="36" t="s">
        <v>1126</v>
      </c>
      <c r="I147" s="36" t="s">
        <v>1127</v>
      </c>
      <c r="J147" s="36" t="s">
        <v>1128</v>
      </c>
      <c r="K147" s="36"/>
      <c r="L147" s="40">
        <f t="shared" si="28"/>
        <v>910</v>
      </c>
      <c r="M147" s="36"/>
      <c r="N147" s="25" t="s">
        <v>142</v>
      </c>
      <c r="O147" s="39"/>
      <c r="P147" s="39"/>
      <c r="Q147" s="39"/>
      <c r="R147" s="39"/>
      <c r="S147" s="39"/>
      <c r="T147" s="39"/>
      <c r="U147" s="39"/>
      <c r="V147" s="39"/>
    </row>
    <row r="148" ht="14.25" customHeight="1">
      <c r="A148" s="41">
        <f t="shared" si="29"/>
        <v>13.17</v>
      </c>
      <c r="B148" s="39" t="s">
        <v>1007</v>
      </c>
      <c r="C148" s="2" t="s">
        <v>1008</v>
      </c>
      <c r="D148" s="42" t="s">
        <v>1129</v>
      </c>
      <c r="E148" s="36" t="s">
        <v>1130</v>
      </c>
      <c r="F148" s="36" t="s">
        <v>1131</v>
      </c>
      <c r="G148" s="36" t="s">
        <v>1132</v>
      </c>
      <c r="H148" s="36" t="s">
        <v>1133</v>
      </c>
      <c r="I148" s="36" t="s">
        <v>1134</v>
      </c>
      <c r="J148" s="36" t="s">
        <v>1135</v>
      </c>
      <c r="K148" s="36"/>
      <c r="L148" s="40">
        <f t="shared" si="28"/>
        <v>911</v>
      </c>
      <c r="M148" s="36" t="s">
        <v>1136</v>
      </c>
      <c r="N148" s="25" t="s">
        <v>142</v>
      </c>
      <c r="O148" s="39"/>
      <c r="P148" s="39"/>
      <c r="Q148" s="39"/>
      <c r="R148" s="39"/>
      <c r="S148" s="39"/>
      <c r="T148" s="39"/>
      <c r="U148" s="39"/>
      <c r="V148" s="39"/>
    </row>
    <row r="149" ht="14.25" customHeight="1">
      <c r="A149" s="41">
        <f t="shared" si="29"/>
        <v>13.18</v>
      </c>
      <c r="B149" s="39" t="s">
        <v>1007</v>
      </c>
      <c r="C149" s="2" t="s">
        <v>1008</v>
      </c>
      <c r="D149" s="42" t="s">
        <v>1137</v>
      </c>
      <c r="E149" s="36" t="s">
        <v>1138</v>
      </c>
      <c r="F149" s="36" t="s">
        <v>1139</v>
      </c>
      <c r="G149" s="36" t="s">
        <v>1140</v>
      </c>
      <c r="H149" s="36" t="s">
        <v>1141</v>
      </c>
      <c r="I149" s="36" t="s">
        <v>1142</v>
      </c>
      <c r="J149" s="36" t="s">
        <v>1143</v>
      </c>
      <c r="K149" s="36"/>
      <c r="L149" s="40">
        <f t="shared" si="28"/>
        <v>912</v>
      </c>
      <c r="M149" s="36"/>
      <c r="N149" s="25" t="s">
        <v>142</v>
      </c>
      <c r="O149" s="39"/>
      <c r="P149" s="39"/>
      <c r="Q149" s="39"/>
      <c r="R149" s="39"/>
      <c r="S149" s="39"/>
      <c r="T149" s="39"/>
      <c r="U149" s="39"/>
      <c r="V149" s="39"/>
    </row>
    <row r="150" ht="14.25" customHeight="1">
      <c r="A150" s="41">
        <f t="shared" si="29"/>
        <v>13.19</v>
      </c>
      <c r="B150" s="39" t="s">
        <v>1007</v>
      </c>
      <c r="C150" s="2" t="s">
        <v>1008</v>
      </c>
      <c r="D150" s="42" t="s">
        <v>1144</v>
      </c>
      <c r="E150" s="36" t="s">
        <v>1145</v>
      </c>
      <c r="F150" s="36" t="s">
        <v>1146</v>
      </c>
      <c r="G150" s="36" t="s">
        <v>1147</v>
      </c>
      <c r="H150" s="36" t="s">
        <v>1148</v>
      </c>
      <c r="I150" s="36" t="s">
        <v>1149</v>
      </c>
      <c r="J150" s="36" t="s">
        <v>1150</v>
      </c>
      <c r="K150" s="36"/>
      <c r="L150" s="40">
        <f t="shared" si="28"/>
        <v>913</v>
      </c>
      <c r="M150" s="36" t="s">
        <v>1151</v>
      </c>
      <c r="N150" s="25" t="s">
        <v>142</v>
      </c>
      <c r="O150" s="39"/>
      <c r="P150" s="39"/>
      <c r="Q150" s="39"/>
      <c r="R150" s="39"/>
      <c r="S150" s="39"/>
      <c r="T150" s="39"/>
      <c r="U150" s="39"/>
      <c r="V150" s="39"/>
    </row>
    <row r="151" ht="14.25" customHeight="1">
      <c r="A151" s="43" t="s">
        <v>1152</v>
      </c>
      <c r="B151" s="44" t="s">
        <v>1007</v>
      </c>
      <c r="C151" s="22" t="s">
        <v>1008</v>
      </c>
      <c r="D151" s="45" t="s">
        <v>1153</v>
      </c>
      <c r="E151" s="46" t="s">
        <v>1154</v>
      </c>
      <c r="F151" s="46" t="s">
        <v>1155</v>
      </c>
      <c r="G151" s="46" t="s">
        <v>1156</v>
      </c>
      <c r="H151" s="46" t="s">
        <v>1157</v>
      </c>
      <c r="I151" s="46" t="s">
        <v>1158</v>
      </c>
      <c r="J151" s="46" t="s">
        <v>1159</v>
      </c>
      <c r="K151" s="46"/>
      <c r="L151" s="22">
        <f t="shared" si="28"/>
        <v>914</v>
      </c>
      <c r="M151" s="46" t="s">
        <v>1160</v>
      </c>
      <c r="N151" s="47" t="s">
        <v>142</v>
      </c>
      <c r="O151" s="39"/>
      <c r="P151" s="39"/>
      <c r="Q151" s="39"/>
      <c r="R151" s="39"/>
      <c r="S151" s="39"/>
      <c r="T151" s="39"/>
      <c r="U151" s="39"/>
      <c r="V151" s="39"/>
    </row>
    <row r="152" ht="14.25" customHeight="1">
      <c r="A152" s="48">
        <v>14.1</v>
      </c>
      <c r="B152" s="49" t="s">
        <v>1161</v>
      </c>
      <c r="C152" s="50" t="s">
        <v>1162</v>
      </c>
      <c r="D152" s="10" t="s">
        <v>1163</v>
      </c>
      <c r="E152" s="11" t="s">
        <v>1164</v>
      </c>
      <c r="F152" s="11" t="s">
        <v>1165</v>
      </c>
      <c r="G152" s="11" t="s">
        <v>1166</v>
      </c>
      <c r="H152" s="11" t="s">
        <v>1167</v>
      </c>
      <c r="I152" s="11" t="s">
        <v>1168</v>
      </c>
      <c r="J152" s="11" t="s">
        <v>1169</v>
      </c>
      <c r="K152" s="11"/>
      <c r="L152" s="11">
        <v>915.0</v>
      </c>
      <c r="M152" s="11" t="s">
        <v>1170</v>
      </c>
      <c r="N152" s="25" t="s">
        <v>664</v>
      </c>
      <c r="O152" s="5"/>
      <c r="P152" s="5"/>
      <c r="Q152" s="5"/>
      <c r="R152" s="5"/>
      <c r="S152" s="5"/>
      <c r="T152" s="5"/>
      <c r="U152" s="5"/>
      <c r="V152" s="5"/>
    </row>
    <row r="153" ht="14.25" customHeight="1">
      <c r="A153" s="51">
        <f t="shared" ref="A153:A160" si="30">A152+0.1</f>
        <v>14.2</v>
      </c>
      <c r="B153" s="52" t="s">
        <v>1161</v>
      </c>
      <c r="C153" s="52" t="s">
        <v>1162</v>
      </c>
      <c r="D153" s="16" t="s">
        <v>1171</v>
      </c>
      <c r="E153" s="2" t="s">
        <v>1172</v>
      </c>
      <c r="F153" s="2" t="s">
        <v>1173</v>
      </c>
      <c r="G153" s="2" t="s">
        <v>1174</v>
      </c>
      <c r="H153" s="2" t="s">
        <v>1175</v>
      </c>
      <c r="I153" s="2" t="s">
        <v>1176</v>
      </c>
      <c r="J153" s="2" t="s">
        <v>1177</v>
      </c>
      <c r="K153" s="2"/>
      <c r="L153" s="2">
        <f t="shared" ref="L153:L171" si="31">L152+1</f>
        <v>916</v>
      </c>
      <c r="M153" s="2" t="s">
        <v>1178</v>
      </c>
      <c r="N153" s="26" t="s">
        <v>664</v>
      </c>
      <c r="O153" s="5"/>
      <c r="P153" s="5"/>
      <c r="Q153" s="5"/>
      <c r="R153" s="5"/>
      <c r="S153" s="5"/>
      <c r="T153" s="5"/>
      <c r="U153" s="5"/>
      <c r="V153" s="5"/>
    </row>
    <row r="154" ht="14.25" customHeight="1">
      <c r="A154" s="51">
        <f t="shared" si="30"/>
        <v>14.3</v>
      </c>
      <c r="B154" s="52" t="s">
        <v>1161</v>
      </c>
      <c r="C154" s="52" t="s">
        <v>1162</v>
      </c>
      <c r="D154" s="16" t="s">
        <v>1179</v>
      </c>
      <c r="E154" s="2" t="s">
        <v>1180</v>
      </c>
      <c r="F154" s="2" t="s">
        <v>1181</v>
      </c>
      <c r="G154" s="2" t="s">
        <v>1182</v>
      </c>
      <c r="H154" s="2" t="s">
        <v>1183</v>
      </c>
      <c r="I154" s="2" t="s">
        <v>1184</v>
      </c>
      <c r="J154" s="2" t="s">
        <v>1185</v>
      </c>
      <c r="K154" s="2"/>
      <c r="L154" s="2">
        <f t="shared" si="31"/>
        <v>917</v>
      </c>
      <c r="M154" s="2"/>
      <c r="N154" s="26" t="s">
        <v>664</v>
      </c>
      <c r="O154" s="5"/>
      <c r="P154" s="5"/>
      <c r="Q154" s="5"/>
      <c r="R154" s="5"/>
      <c r="S154" s="5"/>
      <c r="T154" s="5"/>
      <c r="U154" s="5"/>
      <c r="V154" s="5"/>
    </row>
    <row r="155" ht="14.25" customHeight="1">
      <c r="A155" s="51">
        <f t="shared" si="30"/>
        <v>14.4</v>
      </c>
      <c r="B155" s="52" t="s">
        <v>1161</v>
      </c>
      <c r="C155" s="52" t="s">
        <v>1162</v>
      </c>
      <c r="D155" s="16" t="s">
        <v>1186</v>
      </c>
      <c r="E155" s="2" t="s">
        <v>1187</v>
      </c>
      <c r="F155" s="2" t="s">
        <v>1188</v>
      </c>
      <c r="G155" s="2" t="s">
        <v>1189</v>
      </c>
      <c r="H155" s="2" t="s">
        <v>1190</v>
      </c>
      <c r="I155" s="2" t="s">
        <v>1191</v>
      </c>
      <c r="J155" s="2" t="s">
        <v>1192</v>
      </c>
      <c r="K155" s="2"/>
      <c r="L155" s="2">
        <f t="shared" si="31"/>
        <v>918</v>
      </c>
      <c r="M155" s="2"/>
      <c r="N155" s="26" t="s">
        <v>664</v>
      </c>
      <c r="O155" s="5"/>
      <c r="P155" s="5"/>
      <c r="Q155" s="5"/>
      <c r="R155" s="5"/>
      <c r="S155" s="5"/>
      <c r="T155" s="5"/>
      <c r="U155" s="5"/>
      <c r="V155" s="5"/>
    </row>
    <row r="156" ht="14.25" customHeight="1">
      <c r="A156" s="51">
        <f t="shared" si="30"/>
        <v>14.5</v>
      </c>
      <c r="B156" s="52" t="s">
        <v>1161</v>
      </c>
      <c r="C156" s="52" t="s">
        <v>1162</v>
      </c>
      <c r="D156" s="16" t="s">
        <v>1193</v>
      </c>
      <c r="E156" s="2" t="s">
        <v>1194</v>
      </c>
      <c r="F156" s="2" t="s">
        <v>1195</v>
      </c>
      <c r="G156" s="2" t="s">
        <v>1196</v>
      </c>
      <c r="H156" s="2" t="s">
        <v>1197</v>
      </c>
      <c r="I156" s="2" t="s">
        <v>1198</v>
      </c>
      <c r="J156" s="2" t="s">
        <v>1199</v>
      </c>
      <c r="K156" s="2"/>
      <c r="L156" s="2">
        <f t="shared" si="31"/>
        <v>919</v>
      </c>
      <c r="M156" s="2"/>
      <c r="N156" s="26" t="s">
        <v>664</v>
      </c>
      <c r="O156" s="5"/>
      <c r="P156" s="5"/>
      <c r="Q156" s="5"/>
      <c r="R156" s="5"/>
      <c r="S156" s="5"/>
      <c r="T156" s="5"/>
      <c r="U156" s="5"/>
      <c r="V156" s="5"/>
    </row>
    <row r="157" ht="14.25" customHeight="1">
      <c r="A157" s="51">
        <f t="shared" si="30"/>
        <v>14.6</v>
      </c>
      <c r="B157" s="52" t="s">
        <v>1161</v>
      </c>
      <c r="C157" s="52" t="s">
        <v>1162</v>
      </c>
      <c r="D157" s="16" t="s">
        <v>1200</v>
      </c>
      <c r="E157" s="2" t="s">
        <v>1201</v>
      </c>
      <c r="F157" s="2" t="s">
        <v>1202</v>
      </c>
      <c r="G157" s="2" t="s">
        <v>1203</v>
      </c>
      <c r="H157" s="2" t="s">
        <v>1204</v>
      </c>
      <c r="I157" s="2" t="s">
        <v>1205</v>
      </c>
      <c r="J157" s="2" t="s">
        <v>1206</v>
      </c>
      <c r="K157" s="2"/>
      <c r="L157" s="2">
        <f t="shared" si="31"/>
        <v>920</v>
      </c>
      <c r="M157" s="2"/>
      <c r="N157" s="26" t="s">
        <v>664</v>
      </c>
      <c r="O157" s="5"/>
      <c r="P157" s="5"/>
      <c r="Q157" s="5"/>
      <c r="R157" s="5"/>
      <c r="S157" s="5"/>
      <c r="T157" s="5"/>
      <c r="U157" s="5"/>
      <c r="V157" s="5"/>
    </row>
    <row r="158" ht="14.25" customHeight="1">
      <c r="A158" s="51">
        <f t="shared" si="30"/>
        <v>14.7</v>
      </c>
      <c r="B158" s="52" t="s">
        <v>1161</v>
      </c>
      <c r="C158" s="52" t="s">
        <v>1162</v>
      </c>
      <c r="D158" s="16" t="s">
        <v>1207</v>
      </c>
      <c r="E158" s="2" t="s">
        <v>1208</v>
      </c>
      <c r="F158" s="2" t="s">
        <v>1209</v>
      </c>
      <c r="G158" s="2" t="s">
        <v>1210</v>
      </c>
      <c r="H158" s="2" t="s">
        <v>1211</v>
      </c>
      <c r="I158" s="2" t="s">
        <v>1212</v>
      </c>
      <c r="J158" s="2" t="s">
        <v>1213</v>
      </c>
      <c r="K158" s="2"/>
      <c r="L158" s="2">
        <f t="shared" si="31"/>
        <v>921</v>
      </c>
      <c r="M158" s="2"/>
      <c r="N158" s="26" t="s">
        <v>664</v>
      </c>
      <c r="O158" s="5"/>
      <c r="P158" s="5"/>
      <c r="Q158" s="5"/>
      <c r="R158" s="5"/>
      <c r="S158" s="5"/>
      <c r="T158" s="5"/>
      <c r="U158" s="5"/>
      <c r="V158" s="5"/>
    </row>
    <row r="159" ht="14.25" customHeight="1">
      <c r="A159" s="51">
        <f t="shared" si="30"/>
        <v>14.8</v>
      </c>
      <c r="B159" s="52" t="s">
        <v>1161</v>
      </c>
      <c r="C159" s="52" t="s">
        <v>1162</v>
      </c>
      <c r="D159" s="16" t="s">
        <v>1214</v>
      </c>
      <c r="E159" s="2" t="s">
        <v>1215</v>
      </c>
      <c r="F159" s="2" t="s">
        <v>1216</v>
      </c>
      <c r="G159" s="2" t="s">
        <v>1217</v>
      </c>
      <c r="H159" s="2" t="s">
        <v>1218</v>
      </c>
      <c r="I159" s="2" t="s">
        <v>1219</v>
      </c>
      <c r="J159" s="2" t="s">
        <v>1220</v>
      </c>
      <c r="K159" s="2"/>
      <c r="L159" s="2">
        <f t="shared" si="31"/>
        <v>922</v>
      </c>
      <c r="M159" s="2"/>
      <c r="N159" s="26" t="s">
        <v>664</v>
      </c>
      <c r="O159" s="5"/>
      <c r="P159" s="5"/>
      <c r="Q159" s="5"/>
      <c r="R159" s="5"/>
      <c r="S159" s="5"/>
      <c r="T159" s="5"/>
      <c r="U159" s="5"/>
      <c r="V159" s="5"/>
    </row>
    <row r="160" ht="14.25" customHeight="1">
      <c r="A160" s="51">
        <f t="shared" si="30"/>
        <v>14.9</v>
      </c>
      <c r="B160" s="52" t="s">
        <v>1161</v>
      </c>
      <c r="C160" s="52" t="s">
        <v>1162</v>
      </c>
      <c r="D160" s="16" t="s">
        <v>1221</v>
      </c>
      <c r="E160" s="2" t="s">
        <v>1222</v>
      </c>
      <c r="F160" s="2" t="s">
        <v>1223</v>
      </c>
      <c r="G160" s="2" t="s">
        <v>1224</v>
      </c>
      <c r="H160" s="2" t="s">
        <v>1225</v>
      </c>
      <c r="I160" s="2" t="s">
        <v>1226</v>
      </c>
      <c r="J160" s="2" t="s">
        <v>1227</v>
      </c>
      <c r="K160" s="2"/>
      <c r="L160" s="2">
        <f t="shared" si="31"/>
        <v>923</v>
      </c>
      <c r="M160" s="2"/>
      <c r="N160" s="26" t="s">
        <v>664</v>
      </c>
      <c r="O160" s="5"/>
      <c r="P160" s="5"/>
      <c r="Q160" s="5"/>
      <c r="R160" s="5"/>
      <c r="S160" s="5"/>
      <c r="T160" s="5"/>
      <c r="U160" s="5"/>
      <c r="V160" s="5"/>
    </row>
    <row r="161" ht="14.25" customHeight="1">
      <c r="A161" s="51" t="s">
        <v>1228</v>
      </c>
      <c r="B161" s="52" t="s">
        <v>1161</v>
      </c>
      <c r="C161" s="52" t="s">
        <v>1162</v>
      </c>
      <c r="D161" s="16" t="s">
        <v>1229</v>
      </c>
      <c r="E161" s="2" t="s">
        <v>1230</v>
      </c>
      <c r="F161" s="2" t="s">
        <v>1231</v>
      </c>
      <c r="G161" s="2" t="s">
        <v>1232</v>
      </c>
      <c r="H161" s="2" t="s">
        <v>1233</v>
      </c>
      <c r="I161" s="2" t="s">
        <v>1234</v>
      </c>
      <c r="J161" s="2" t="s">
        <v>1235</v>
      </c>
      <c r="K161" s="2"/>
      <c r="L161" s="2">
        <f t="shared" si="31"/>
        <v>924</v>
      </c>
      <c r="M161" s="2"/>
      <c r="N161" s="26" t="s">
        <v>664</v>
      </c>
      <c r="O161" s="5"/>
      <c r="P161" s="5"/>
      <c r="Q161" s="5"/>
      <c r="R161" s="5"/>
      <c r="S161" s="5"/>
      <c r="T161" s="5"/>
      <c r="U161" s="5"/>
      <c r="V161" s="5"/>
    </row>
    <row r="162" ht="14.25" customHeight="1">
      <c r="A162" s="51">
        <v>14.11</v>
      </c>
      <c r="B162" s="52" t="s">
        <v>1161</v>
      </c>
      <c r="C162" s="52" t="s">
        <v>1162</v>
      </c>
      <c r="D162" s="16" t="s">
        <v>1236</v>
      </c>
      <c r="E162" s="2" t="s">
        <v>1237</v>
      </c>
      <c r="F162" s="2" t="s">
        <v>1238</v>
      </c>
      <c r="G162" s="2" t="s">
        <v>1239</v>
      </c>
      <c r="H162" s="2" t="s">
        <v>1240</v>
      </c>
      <c r="I162" s="2" t="s">
        <v>1241</v>
      </c>
      <c r="J162" s="2" t="s">
        <v>1242</v>
      </c>
      <c r="K162" s="2"/>
      <c r="L162" s="2">
        <f t="shared" si="31"/>
        <v>925</v>
      </c>
      <c r="M162" s="2"/>
      <c r="N162" s="26" t="s">
        <v>664</v>
      </c>
      <c r="O162" s="5"/>
      <c r="P162" s="5"/>
      <c r="Q162" s="5"/>
      <c r="R162" s="5"/>
      <c r="S162" s="5"/>
      <c r="T162" s="5"/>
      <c r="U162" s="5"/>
      <c r="V162" s="5"/>
    </row>
    <row r="163" ht="14.25" customHeight="1">
      <c r="A163" s="51">
        <f t="shared" ref="A163:A170" si="32">A162+0.01</f>
        <v>14.12</v>
      </c>
      <c r="B163" s="52" t="s">
        <v>1161</v>
      </c>
      <c r="C163" s="52" t="s">
        <v>1162</v>
      </c>
      <c r="D163" s="16" t="s">
        <v>1243</v>
      </c>
      <c r="E163" s="2" t="s">
        <v>1244</v>
      </c>
      <c r="F163" s="2" t="s">
        <v>1245</v>
      </c>
      <c r="G163" s="2" t="s">
        <v>1246</v>
      </c>
      <c r="H163" s="2" t="s">
        <v>1247</v>
      </c>
      <c r="I163" s="2" t="s">
        <v>1248</v>
      </c>
      <c r="J163" s="2" t="s">
        <v>1249</v>
      </c>
      <c r="K163" s="2"/>
      <c r="L163" s="2">
        <f t="shared" si="31"/>
        <v>926</v>
      </c>
      <c r="M163" s="2"/>
      <c r="N163" s="26" t="s">
        <v>664</v>
      </c>
      <c r="O163" s="5"/>
      <c r="P163" s="5"/>
      <c r="Q163" s="5"/>
      <c r="R163" s="5"/>
      <c r="S163" s="5"/>
      <c r="T163" s="5"/>
      <c r="U163" s="5"/>
      <c r="V163" s="5"/>
    </row>
    <row r="164" ht="14.25" customHeight="1">
      <c r="A164" s="51">
        <f t="shared" si="32"/>
        <v>14.13</v>
      </c>
      <c r="B164" s="52" t="s">
        <v>1161</v>
      </c>
      <c r="C164" s="52" t="s">
        <v>1162</v>
      </c>
      <c r="D164" s="16" t="s">
        <v>1250</v>
      </c>
      <c r="E164" s="2" t="s">
        <v>1251</v>
      </c>
      <c r="F164" s="2" t="s">
        <v>1252</v>
      </c>
      <c r="G164" s="2" t="s">
        <v>1253</v>
      </c>
      <c r="H164" s="2" t="s">
        <v>1254</v>
      </c>
      <c r="I164" s="2" t="s">
        <v>1255</v>
      </c>
      <c r="J164" s="2" t="s">
        <v>1256</v>
      </c>
      <c r="K164" s="2"/>
      <c r="L164" s="2">
        <f t="shared" si="31"/>
        <v>927</v>
      </c>
      <c r="M164" s="2"/>
      <c r="N164" s="26" t="s">
        <v>664</v>
      </c>
      <c r="O164" s="5"/>
      <c r="P164" s="5"/>
      <c r="Q164" s="5"/>
      <c r="R164" s="5"/>
      <c r="S164" s="5"/>
      <c r="T164" s="5"/>
      <c r="U164" s="5"/>
      <c r="V164" s="5"/>
    </row>
    <row r="165" ht="14.25" customHeight="1">
      <c r="A165" s="51">
        <f t="shared" si="32"/>
        <v>14.14</v>
      </c>
      <c r="B165" s="52" t="s">
        <v>1161</v>
      </c>
      <c r="C165" s="52" t="s">
        <v>1162</v>
      </c>
      <c r="D165" s="16" t="s">
        <v>1257</v>
      </c>
      <c r="E165" s="2" t="s">
        <v>1258</v>
      </c>
      <c r="F165" s="2" t="s">
        <v>1259</v>
      </c>
      <c r="G165" s="2" t="s">
        <v>1260</v>
      </c>
      <c r="H165" s="2" t="s">
        <v>1261</v>
      </c>
      <c r="I165" s="2" t="s">
        <v>1262</v>
      </c>
      <c r="J165" s="2" t="s">
        <v>1263</v>
      </c>
      <c r="K165" s="2"/>
      <c r="L165" s="2">
        <f t="shared" si="31"/>
        <v>928</v>
      </c>
      <c r="M165" s="2"/>
      <c r="N165" s="26" t="s">
        <v>664</v>
      </c>
      <c r="O165" s="5"/>
      <c r="P165" s="5"/>
      <c r="Q165" s="5"/>
      <c r="R165" s="5"/>
      <c r="S165" s="5"/>
      <c r="T165" s="5"/>
      <c r="U165" s="5"/>
      <c r="V165" s="5"/>
    </row>
    <row r="166" ht="14.25" customHeight="1">
      <c r="A166" s="51">
        <f t="shared" si="32"/>
        <v>14.15</v>
      </c>
      <c r="B166" s="52" t="s">
        <v>1161</v>
      </c>
      <c r="C166" s="52" t="s">
        <v>1162</v>
      </c>
      <c r="D166" s="16" t="s">
        <v>1264</v>
      </c>
      <c r="E166" s="2" t="s">
        <v>1265</v>
      </c>
      <c r="F166" s="2" t="s">
        <v>1266</v>
      </c>
      <c r="G166" s="2" t="s">
        <v>1267</v>
      </c>
      <c r="H166" s="2" t="s">
        <v>1268</v>
      </c>
      <c r="I166" s="2" t="s">
        <v>1269</v>
      </c>
      <c r="J166" s="2" t="s">
        <v>1270</v>
      </c>
      <c r="K166" s="2"/>
      <c r="L166" s="2">
        <f t="shared" si="31"/>
        <v>929</v>
      </c>
      <c r="M166" s="2"/>
      <c r="N166" s="26" t="s">
        <v>664</v>
      </c>
      <c r="O166" s="5"/>
      <c r="P166" s="5"/>
      <c r="Q166" s="5"/>
      <c r="R166" s="5"/>
      <c r="S166" s="5"/>
      <c r="T166" s="5"/>
      <c r="U166" s="5"/>
      <c r="V166" s="5"/>
    </row>
    <row r="167" ht="14.25" customHeight="1">
      <c r="A167" s="51">
        <f t="shared" si="32"/>
        <v>14.16</v>
      </c>
      <c r="B167" s="52" t="s">
        <v>1161</v>
      </c>
      <c r="C167" s="52" t="s">
        <v>1162</v>
      </c>
      <c r="D167" s="16" t="s">
        <v>1271</v>
      </c>
      <c r="E167" s="2" t="s">
        <v>1272</v>
      </c>
      <c r="F167" s="2" t="s">
        <v>1273</v>
      </c>
      <c r="G167" s="2" t="s">
        <v>1274</v>
      </c>
      <c r="H167" s="2" t="s">
        <v>1275</v>
      </c>
      <c r="I167" s="2" t="s">
        <v>1276</v>
      </c>
      <c r="J167" s="2" t="s">
        <v>1277</v>
      </c>
      <c r="K167" s="2"/>
      <c r="L167" s="2">
        <f t="shared" si="31"/>
        <v>930</v>
      </c>
      <c r="M167" s="2"/>
      <c r="N167" s="26" t="s">
        <v>664</v>
      </c>
      <c r="O167" s="5"/>
      <c r="P167" s="5"/>
      <c r="Q167" s="5"/>
      <c r="R167" s="5"/>
      <c r="S167" s="5"/>
      <c r="T167" s="5"/>
      <c r="U167" s="5"/>
      <c r="V167" s="5"/>
    </row>
    <row r="168" ht="14.25" customHeight="1">
      <c r="A168" s="51">
        <f t="shared" si="32"/>
        <v>14.17</v>
      </c>
      <c r="B168" s="52" t="s">
        <v>1161</v>
      </c>
      <c r="C168" s="52" t="s">
        <v>1162</v>
      </c>
      <c r="D168" s="16" t="s">
        <v>1278</v>
      </c>
      <c r="E168" s="2" t="s">
        <v>1279</v>
      </c>
      <c r="F168" s="2" t="s">
        <v>1280</v>
      </c>
      <c r="G168" s="2" t="s">
        <v>1281</v>
      </c>
      <c r="H168" s="2" t="s">
        <v>1282</v>
      </c>
      <c r="I168" s="2" t="s">
        <v>1283</v>
      </c>
      <c r="J168" s="2" t="s">
        <v>1284</v>
      </c>
      <c r="K168" s="2"/>
      <c r="L168" s="2">
        <f t="shared" si="31"/>
        <v>931</v>
      </c>
      <c r="M168" s="2"/>
      <c r="N168" s="26" t="s">
        <v>664</v>
      </c>
      <c r="O168" s="5"/>
      <c r="P168" s="5"/>
      <c r="Q168" s="5"/>
      <c r="R168" s="5"/>
      <c r="S168" s="5"/>
      <c r="T168" s="5"/>
      <c r="U168" s="5"/>
      <c r="V168" s="5"/>
    </row>
    <row r="169" ht="14.25" customHeight="1">
      <c r="A169" s="51">
        <f t="shared" si="32"/>
        <v>14.18</v>
      </c>
      <c r="B169" s="52" t="s">
        <v>1161</v>
      </c>
      <c r="C169" s="52" t="s">
        <v>1162</v>
      </c>
      <c r="D169" s="16" t="s">
        <v>1285</v>
      </c>
      <c r="E169" s="2" t="s">
        <v>1286</v>
      </c>
      <c r="F169" s="2" t="s">
        <v>1287</v>
      </c>
      <c r="G169" s="2" t="s">
        <v>1288</v>
      </c>
      <c r="H169" s="2" t="s">
        <v>1289</v>
      </c>
      <c r="I169" s="2" t="s">
        <v>1290</v>
      </c>
      <c r="J169" s="2" t="s">
        <v>1291</v>
      </c>
      <c r="K169" s="2"/>
      <c r="L169" s="2">
        <f t="shared" si="31"/>
        <v>932</v>
      </c>
      <c r="M169" s="2"/>
      <c r="N169" s="26" t="s">
        <v>664</v>
      </c>
      <c r="O169" s="5"/>
      <c r="P169" s="5"/>
      <c r="Q169" s="5"/>
      <c r="R169" s="5"/>
      <c r="S169" s="5"/>
      <c r="T169" s="5"/>
      <c r="U169" s="5"/>
      <c r="V169" s="5"/>
    </row>
    <row r="170" ht="14.25" customHeight="1">
      <c r="A170" s="51">
        <f t="shared" si="32"/>
        <v>14.19</v>
      </c>
      <c r="B170" s="52" t="s">
        <v>1161</v>
      </c>
      <c r="C170" s="52" t="s">
        <v>1162</v>
      </c>
      <c r="D170" s="16" t="s">
        <v>1292</v>
      </c>
      <c r="E170" s="2" t="s">
        <v>1293</v>
      </c>
      <c r="F170" s="2" t="s">
        <v>1294</v>
      </c>
      <c r="G170" s="2" t="s">
        <v>1295</v>
      </c>
      <c r="H170" s="2" t="s">
        <v>1296</v>
      </c>
      <c r="I170" s="2" t="s">
        <v>1297</v>
      </c>
      <c r="J170" s="2" t="s">
        <v>1298</v>
      </c>
      <c r="K170" s="2"/>
      <c r="L170" s="2">
        <f t="shared" si="31"/>
        <v>933</v>
      </c>
      <c r="M170" s="2"/>
      <c r="N170" s="26" t="s">
        <v>664</v>
      </c>
      <c r="O170" s="5"/>
      <c r="P170" s="5"/>
      <c r="Q170" s="5"/>
      <c r="R170" s="5"/>
      <c r="S170" s="5"/>
      <c r="T170" s="5"/>
      <c r="U170" s="5"/>
      <c r="V170" s="5"/>
    </row>
    <row r="171" ht="14.25" customHeight="1">
      <c r="A171" s="53" t="s">
        <v>1299</v>
      </c>
      <c r="B171" s="54" t="s">
        <v>1161</v>
      </c>
      <c r="C171" s="54" t="s">
        <v>1162</v>
      </c>
      <c r="D171" s="21" t="s">
        <v>1300</v>
      </c>
      <c r="E171" s="22" t="s">
        <v>1301</v>
      </c>
      <c r="F171" s="22" t="s">
        <v>1302</v>
      </c>
      <c r="G171" s="22" t="s">
        <v>1303</v>
      </c>
      <c r="H171" s="22" t="s">
        <v>1304</v>
      </c>
      <c r="I171" s="22" t="s">
        <v>1305</v>
      </c>
      <c r="J171" s="22" t="s">
        <v>1306</v>
      </c>
      <c r="K171" s="22"/>
      <c r="L171" s="22">
        <f t="shared" si="31"/>
        <v>934</v>
      </c>
      <c r="M171" s="22"/>
      <c r="N171" s="24" t="s">
        <v>664</v>
      </c>
      <c r="O171" s="5"/>
      <c r="P171" s="5"/>
      <c r="Q171" s="5"/>
      <c r="R171" s="5"/>
      <c r="S171" s="5"/>
      <c r="T171" s="5"/>
      <c r="U171" s="5"/>
      <c r="V171" s="5"/>
    </row>
    <row r="172" ht="14.25" customHeight="1">
      <c r="A172" s="55">
        <v>15.1</v>
      </c>
      <c r="B172" s="56" t="s">
        <v>1307</v>
      </c>
      <c r="C172" s="57" t="s">
        <v>1308</v>
      </c>
      <c r="D172" s="58" t="s">
        <v>1309</v>
      </c>
      <c r="E172" s="56" t="s">
        <v>1310</v>
      </c>
      <c r="F172" s="56" t="s">
        <v>1311</v>
      </c>
      <c r="G172" s="56" t="s">
        <v>1312</v>
      </c>
      <c r="H172" s="56" t="s">
        <v>1313</v>
      </c>
      <c r="I172" s="56" t="s">
        <v>1314</v>
      </c>
      <c r="J172" s="56" t="s">
        <v>1315</v>
      </c>
      <c r="K172" s="56"/>
      <c r="L172" s="56">
        <v>935.0</v>
      </c>
      <c r="M172" s="56"/>
      <c r="N172" s="25" t="s">
        <v>664</v>
      </c>
      <c r="O172" s="5"/>
      <c r="P172" s="5"/>
      <c r="Q172" s="5"/>
      <c r="R172" s="5"/>
      <c r="S172" s="5"/>
      <c r="T172" s="5"/>
      <c r="U172" s="5"/>
      <c r="V172" s="5"/>
    </row>
    <row r="173" ht="14.25" customHeight="1">
      <c r="A173" s="59">
        <f t="shared" ref="A173:A180" si="33">+A172+0.1</f>
        <v>15.2</v>
      </c>
      <c r="B173" s="60" t="s">
        <v>1307</v>
      </c>
      <c r="C173" s="60" t="s">
        <v>1308</v>
      </c>
      <c r="D173" s="61" t="s">
        <v>1316</v>
      </c>
      <c r="E173" s="60" t="s">
        <v>1317</v>
      </c>
      <c r="F173" s="60" t="s">
        <v>1318</v>
      </c>
      <c r="G173" s="60" t="s">
        <v>1319</v>
      </c>
      <c r="H173" s="60" t="s">
        <v>1320</v>
      </c>
      <c r="I173" s="60" t="s">
        <v>1321</v>
      </c>
      <c r="J173" s="60" t="s">
        <v>1322</v>
      </c>
      <c r="K173" s="60"/>
      <c r="L173" s="60">
        <f t="shared" ref="L173:L191" si="34">L172+1</f>
        <v>936</v>
      </c>
      <c r="M173" s="60" t="s">
        <v>1323</v>
      </c>
      <c r="N173" s="26" t="s">
        <v>664</v>
      </c>
      <c r="O173" s="5"/>
      <c r="P173" s="5"/>
      <c r="Q173" s="5"/>
      <c r="R173" s="5"/>
      <c r="S173" s="5"/>
      <c r="T173" s="5"/>
      <c r="U173" s="5"/>
      <c r="V173" s="5"/>
    </row>
    <row r="174" ht="14.25" customHeight="1">
      <c r="A174" s="59">
        <f t="shared" si="33"/>
        <v>15.3</v>
      </c>
      <c r="B174" s="60" t="s">
        <v>1307</v>
      </c>
      <c r="C174" s="60" t="s">
        <v>1308</v>
      </c>
      <c r="D174" s="61" t="s">
        <v>1324</v>
      </c>
      <c r="E174" s="60" t="s">
        <v>1325</v>
      </c>
      <c r="F174" s="60" t="s">
        <v>1326</v>
      </c>
      <c r="G174" s="60" t="s">
        <v>1327</v>
      </c>
      <c r="H174" s="60" t="s">
        <v>1328</v>
      </c>
      <c r="I174" s="60" t="s">
        <v>1329</v>
      </c>
      <c r="J174" s="60" t="s">
        <v>1330</v>
      </c>
      <c r="K174" s="60"/>
      <c r="L174" s="60">
        <f t="shared" si="34"/>
        <v>937</v>
      </c>
      <c r="M174" s="60"/>
      <c r="N174" s="26" t="s">
        <v>664</v>
      </c>
      <c r="O174" s="5"/>
      <c r="P174" s="5"/>
      <c r="Q174" s="5"/>
      <c r="R174" s="5"/>
      <c r="S174" s="5"/>
      <c r="T174" s="5"/>
      <c r="U174" s="5"/>
      <c r="V174" s="5"/>
    </row>
    <row r="175" ht="14.25" customHeight="1">
      <c r="A175" s="59">
        <f t="shared" si="33"/>
        <v>15.4</v>
      </c>
      <c r="B175" s="60" t="s">
        <v>1307</v>
      </c>
      <c r="C175" s="60" t="s">
        <v>1308</v>
      </c>
      <c r="D175" s="61" t="s">
        <v>1331</v>
      </c>
      <c r="E175" s="60" t="s">
        <v>1332</v>
      </c>
      <c r="F175" s="60" t="s">
        <v>1333</v>
      </c>
      <c r="G175" s="60" t="s">
        <v>1334</v>
      </c>
      <c r="H175" s="60" t="s">
        <v>1335</v>
      </c>
      <c r="I175" s="60" t="s">
        <v>1336</v>
      </c>
      <c r="J175" s="60" t="s">
        <v>1337</v>
      </c>
      <c r="K175" s="60"/>
      <c r="L175" s="60">
        <f t="shared" si="34"/>
        <v>938</v>
      </c>
      <c r="M175" s="60"/>
      <c r="N175" s="26" t="s">
        <v>664</v>
      </c>
      <c r="O175" s="5"/>
      <c r="P175" s="5"/>
      <c r="Q175" s="5"/>
      <c r="R175" s="5"/>
      <c r="S175" s="5"/>
      <c r="T175" s="5"/>
      <c r="U175" s="5"/>
      <c r="V175" s="5"/>
    </row>
    <row r="176" ht="14.25" customHeight="1">
      <c r="A176" s="59">
        <f t="shared" si="33"/>
        <v>15.5</v>
      </c>
      <c r="B176" s="60" t="s">
        <v>1307</v>
      </c>
      <c r="C176" s="60" t="s">
        <v>1308</v>
      </c>
      <c r="D176" s="61" t="s">
        <v>1338</v>
      </c>
      <c r="E176" s="60" t="s">
        <v>1339</v>
      </c>
      <c r="F176" s="62" t="s">
        <v>1340</v>
      </c>
      <c r="G176" s="60" t="s">
        <v>1341</v>
      </c>
      <c r="H176" s="60" t="s">
        <v>1342</v>
      </c>
      <c r="I176" s="60" t="s">
        <v>1343</v>
      </c>
      <c r="J176" s="60" t="s">
        <v>1344</v>
      </c>
      <c r="K176" s="60"/>
      <c r="L176" s="60">
        <f t="shared" si="34"/>
        <v>939</v>
      </c>
      <c r="M176" s="60" t="s">
        <v>1345</v>
      </c>
      <c r="N176" s="26" t="s">
        <v>664</v>
      </c>
      <c r="O176" s="5"/>
      <c r="P176" s="5"/>
      <c r="Q176" s="5"/>
      <c r="R176" s="5"/>
      <c r="S176" s="5"/>
      <c r="T176" s="5"/>
      <c r="U176" s="5"/>
      <c r="V176" s="5"/>
    </row>
    <row r="177" ht="14.25" customHeight="1">
      <c r="A177" s="59">
        <f t="shared" si="33"/>
        <v>15.6</v>
      </c>
      <c r="B177" s="60" t="s">
        <v>1307</v>
      </c>
      <c r="C177" s="60" t="s">
        <v>1308</v>
      </c>
      <c r="D177" s="61" t="s">
        <v>1346</v>
      </c>
      <c r="E177" s="60" t="s">
        <v>1347</v>
      </c>
      <c r="F177" s="60" t="s">
        <v>1348</v>
      </c>
      <c r="G177" s="60" t="s">
        <v>1349</v>
      </c>
      <c r="H177" s="60" t="s">
        <v>1350</v>
      </c>
      <c r="I177" s="60" t="s">
        <v>1351</v>
      </c>
      <c r="J177" s="60" t="s">
        <v>1352</v>
      </c>
      <c r="K177" s="60"/>
      <c r="L177" s="60">
        <f t="shared" si="34"/>
        <v>940</v>
      </c>
      <c r="M177" s="60" t="s">
        <v>1353</v>
      </c>
      <c r="N177" s="26" t="s">
        <v>664</v>
      </c>
      <c r="O177" s="5"/>
      <c r="P177" s="5"/>
      <c r="Q177" s="5"/>
      <c r="R177" s="5"/>
      <c r="S177" s="5"/>
      <c r="T177" s="5"/>
      <c r="U177" s="5"/>
      <c r="V177" s="5"/>
    </row>
    <row r="178" ht="14.25" customHeight="1">
      <c r="A178" s="59">
        <f t="shared" si="33"/>
        <v>15.7</v>
      </c>
      <c r="B178" s="60" t="s">
        <v>1307</v>
      </c>
      <c r="C178" s="60" t="s">
        <v>1308</v>
      </c>
      <c r="D178" s="61" t="s">
        <v>1354</v>
      </c>
      <c r="E178" s="60" t="s">
        <v>1355</v>
      </c>
      <c r="F178" s="60" t="s">
        <v>1356</v>
      </c>
      <c r="G178" s="60" t="s">
        <v>1357</v>
      </c>
      <c r="H178" s="60" t="s">
        <v>1358</v>
      </c>
      <c r="I178" s="60" t="s">
        <v>1359</v>
      </c>
      <c r="J178" s="60" t="s">
        <v>1360</v>
      </c>
      <c r="K178" s="60"/>
      <c r="L178" s="60">
        <f t="shared" si="34"/>
        <v>941</v>
      </c>
      <c r="M178" s="60"/>
      <c r="N178" s="26" t="s">
        <v>664</v>
      </c>
      <c r="O178" s="5"/>
      <c r="P178" s="5"/>
      <c r="Q178" s="5"/>
      <c r="R178" s="5"/>
      <c r="S178" s="5"/>
      <c r="T178" s="5"/>
      <c r="U178" s="5"/>
      <c r="V178" s="5"/>
    </row>
    <row r="179" ht="14.25" customHeight="1">
      <c r="A179" s="59">
        <f t="shared" si="33"/>
        <v>15.8</v>
      </c>
      <c r="B179" s="60" t="s">
        <v>1307</v>
      </c>
      <c r="C179" s="60" t="s">
        <v>1308</v>
      </c>
      <c r="D179" s="61" t="s">
        <v>1361</v>
      </c>
      <c r="E179" s="60" t="s">
        <v>1362</v>
      </c>
      <c r="F179" s="60" t="s">
        <v>1363</v>
      </c>
      <c r="G179" s="60" t="s">
        <v>1364</v>
      </c>
      <c r="H179" s="60" t="s">
        <v>1365</v>
      </c>
      <c r="I179" s="60" t="s">
        <v>1366</v>
      </c>
      <c r="J179" s="60" t="s">
        <v>1367</v>
      </c>
      <c r="K179" s="60"/>
      <c r="L179" s="60">
        <f t="shared" si="34"/>
        <v>942</v>
      </c>
      <c r="M179" s="60"/>
      <c r="N179" s="26" t="s">
        <v>664</v>
      </c>
      <c r="O179" s="5"/>
      <c r="P179" s="5"/>
      <c r="Q179" s="5"/>
      <c r="R179" s="5"/>
      <c r="S179" s="5"/>
      <c r="T179" s="5"/>
      <c r="U179" s="5"/>
      <c r="V179" s="5"/>
    </row>
    <row r="180" ht="14.25" customHeight="1">
      <c r="A180" s="59">
        <f t="shared" si="33"/>
        <v>15.9</v>
      </c>
      <c r="B180" s="60" t="s">
        <v>1307</v>
      </c>
      <c r="C180" s="60" t="s">
        <v>1308</v>
      </c>
      <c r="D180" s="61" t="s">
        <v>1368</v>
      </c>
      <c r="E180" s="60" t="s">
        <v>1369</v>
      </c>
      <c r="F180" s="60" t="s">
        <v>1370</v>
      </c>
      <c r="G180" s="60" t="s">
        <v>1371</v>
      </c>
      <c r="H180" s="60" t="s">
        <v>1372</v>
      </c>
      <c r="I180" s="60" t="s">
        <v>1373</v>
      </c>
      <c r="J180" s="60" t="s">
        <v>1374</v>
      </c>
      <c r="K180" s="60"/>
      <c r="L180" s="60">
        <f t="shared" si="34"/>
        <v>943</v>
      </c>
      <c r="M180" s="60"/>
      <c r="N180" s="26" t="s">
        <v>664</v>
      </c>
      <c r="O180" s="5"/>
      <c r="P180" s="5"/>
      <c r="Q180" s="5"/>
      <c r="R180" s="5"/>
      <c r="S180" s="5"/>
      <c r="T180" s="5"/>
      <c r="U180" s="5"/>
      <c r="V180" s="5"/>
    </row>
    <row r="181" ht="14.25" customHeight="1">
      <c r="A181" s="59" t="s">
        <v>1375</v>
      </c>
      <c r="B181" s="60" t="s">
        <v>1307</v>
      </c>
      <c r="C181" s="60" t="s">
        <v>1308</v>
      </c>
      <c r="D181" s="61" t="s">
        <v>1376</v>
      </c>
      <c r="E181" s="60" t="s">
        <v>1377</v>
      </c>
      <c r="F181" s="60" t="s">
        <v>1378</v>
      </c>
      <c r="G181" s="60" t="s">
        <v>1379</v>
      </c>
      <c r="H181" s="60" t="s">
        <v>1380</v>
      </c>
      <c r="I181" s="60" t="s">
        <v>1381</v>
      </c>
      <c r="J181" s="60" t="s">
        <v>1382</v>
      </c>
      <c r="K181" s="60"/>
      <c r="L181" s="60">
        <f t="shared" si="34"/>
        <v>944</v>
      </c>
      <c r="M181" s="60"/>
      <c r="N181" s="26" t="s">
        <v>664</v>
      </c>
      <c r="O181" s="5"/>
      <c r="P181" s="5"/>
      <c r="Q181" s="5"/>
      <c r="R181" s="5"/>
      <c r="S181" s="5"/>
      <c r="T181" s="5"/>
      <c r="U181" s="5"/>
      <c r="V181" s="5"/>
    </row>
    <row r="182" ht="14.25" customHeight="1">
      <c r="A182" s="59">
        <v>15.11</v>
      </c>
      <c r="B182" s="60" t="s">
        <v>1307</v>
      </c>
      <c r="C182" s="60" t="s">
        <v>1308</v>
      </c>
      <c r="D182" s="61" t="s">
        <v>1383</v>
      </c>
      <c r="E182" s="60" t="s">
        <v>1384</v>
      </c>
      <c r="F182" s="60" t="s">
        <v>1385</v>
      </c>
      <c r="G182" s="60" t="s">
        <v>1386</v>
      </c>
      <c r="H182" s="60" t="s">
        <v>1387</v>
      </c>
      <c r="I182" s="60" t="s">
        <v>1388</v>
      </c>
      <c r="J182" s="60" t="s">
        <v>1389</v>
      </c>
      <c r="K182" s="60"/>
      <c r="L182" s="60">
        <f t="shared" si="34"/>
        <v>945</v>
      </c>
      <c r="M182" s="60"/>
      <c r="N182" s="26" t="s">
        <v>664</v>
      </c>
      <c r="O182" s="5"/>
      <c r="P182" s="5"/>
      <c r="Q182" s="5"/>
      <c r="R182" s="5"/>
      <c r="S182" s="5"/>
      <c r="T182" s="5"/>
      <c r="U182" s="5"/>
      <c r="V182" s="5"/>
    </row>
    <row r="183" ht="14.25" customHeight="1">
      <c r="A183" s="59">
        <f t="shared" ref="A183:A190" si="35">+A182+0.01</f>
        <v>15.12</v>
      </c>
      <c r="B183" s="60" t="s">
        <v>1307</v>
      </c>
      <c r="C183" s="60" t="s">
        <v>1308</v>
      </c>
      <c r="D183" s="61" t="s">
        <v>1390</v>
      </c>
      <c r="E183" s="60" t="s">
        <v>1391</v>
      </c>
      <c r="F183" s="60" t="s">
        <v>1392</v>
      </c>
      <c r="G183" s="60" t="s">
        <v>1393</v>
      </c>
      <c r="H183" s="60" t="s">
        <v>1394</v>
      </c>
      <c r="I183" s="60" t="s">
        <v>1395</v>
      </c>
      <c r="J183" s="60" t="s">
        <v>1396</v>
      </c>
      <c r="K183" s="60"/>
      <c r="L183" s="60">
        <f t="shared" si="34"/>
        <v>946</v>
      </c>
      <c r="M183" s="60"/>
      <c r="N183" s="26" t="s">
        <v>664</v>
      </c>
      <c r="O183" s="5"/>
      <c r="P183" s="5"/>
      <c r="Q183" s="5"/>
      <c r="R183" s="5"/>
      <c r="S183" s="5"/>
      <c r="T183" s="5"/>
      <c r="U183" s="5"/>
      <c r="V183" s="5"/>
    </row>
    <row r="184" ht="14.25" customHeight="1">
      <c r="A184" s="59">
        <f t="shared" si="35"/>
        <v>15.13</v>
      </c>
      <c r="B184" s="60" t="s">
        <v>1307</v>
      </c>
      <c r="C184" s="60" t="s">
        <v>1308</v>
      </c>
      <c r="D184" s="61" t="s">
        <v>1397</v>
      </c>
      <c r="E184" s="60" t="s">
        <v>1398</v>
      </c>
      <c r="F184" s="60" t="s">
        <v>1399</v>
      </c>
      <c r="G184" s="60" t="s">
        <v>1400</v>
      </c>
      <c r="H184" s="60" t="s">
        <v>1401</v>
      </c>
      <c r="I184" s="60" t="s">
        <v>1402</v>
      </c>
      <c r="J184" s="60" t="s">
        <v>1403</v>
      </c>
      <c r="K184" s="60"/>
      <c r="L184" s="60">
        <f t="shared" si="34"/>
        <v>947</v>
      </c>
      <c r="M184" s="60"/>
      <c r="N184" s="26" t="s">
        <v>664</v>
      </c>
      <c r="O184" s="5"/>
      <c r="P184" s="5"/>
      <c r="Q184" s="5"/>
      <c r="R184" s="5"/>
      <c r="S184" s="5"/>
      <c r="T184" s="5"/>
      <c r="U184" s="5"/>
      <c r="V184" s="5"/>
    </row>
    <row r="185" ht="14.25" customHeight="1">
      <c r="A185" s="59">
        <f t="shared" si="35"/>
        <v>15.14</v>
      </c>
      <c r="B185" s="60" t="s">
        <v>1307</v>
      </c>
      <c r="C185" s="60" t="s">
        <v>1308</v>
      </c>
      <c r="D185" s="61" t="s">
        <v>1404</v>
      </c>
      <c r="E185" s="60" t="s">
        <v>1405</v>
      </c>
      <c r="F185" s="60" t="s">
        <v>1406</v>
      </c>
      <c r="G185" s="60" t="s">
        <v>1407</v>
      </c>
      <c r="H185" s="60" t="s">
        <v>1408</v>
      </c>
      <c r="I185" s="60" t="s">
        <v>1409</v>
      </c>
      <c r="J185" s="60" t="s">
        <v>1410</v>
      </c>
      <c r="K185" s="60"/>
      <c r="L185" s="60">
        <f t="shared" si="34"/>
        <v>948</v>
      </c>
      <c r="M185" s="60"/>
      <c r="N185" s="26" t="s">
        <v>664</v>
      </c>
      <c r="O185" s="5"/>
      <c r="P185" s="5"/>
      <c r="Q185" s="5"/>
      <c r="R185" s="5"/>
      <c r="S185" s="5"/>
      <c r="T185" s="5"/>
      <c r="U185" s="5"/>
      <c r="V185" s="5"/>
    </row>
    <row r="186" ht="14.25" customHeight="1">
      <c r="A186" s="59">
        <f t="shared" si="35"/>
        <v>15.15</v>
      </c>
      <c r="B186" s="60" t="s">
        <v>1307</v>
      </c>
      <c r="C186" s="60" t="s">
        <v>1308</v>
      </c>
      <c r="D186" s="61" t="s">
        <v>1411</v>
      </c>
      <c r="E186" s="60" t="s">
        <v>1412</v>
      </c>
      <c r="F186" s="60" t="s">
        <v>1413</v>
      </c>
      <c r="G186" s="60" t="s">
        <v>1414</v>
      </c>
      <c r="H186" s="60" t="s">
        <v>1415</v>
      </c>
      <c r="I186" s="60" t="s">
        <v>1416</v>
      </c>
      <c r="J186" s="60" t="s">
        <v>1417</v>
      </c>
      <c r="K186" s="60"/>
      <c r="L186" s="60">
        <f t="shared" si="34"/>
        <v>949</v>
      </c>
      <c r="M186" s="60"/>
      <c r="N186" s="26" t="s">
        <v>664</v>
      </c>
      <c r="O186" s="5"/>
      <c r="P186" s="5"/>
      <c r="Q186" s="5"/>
      <c r="R186" s="5"/>
      <c r="S186" s="5"/>
      <c r="T186" s="5"/>
      <c r="U186" s="5"/>
      <c r="V186" s="5"/>
    </row>
    <row r="187" ht="14.25" customHeight="1">
      <c r="A187" s="59">
        <f t="shared" si="35"/>
        <v>15.16</v>
      </c>
      <c r="B187" s="60" t="s">
        <v>1307</v>
      </c>
      <c r="C187" s="60" t="s">
        <v>1308</v>
      </c>
      <c r="D187" s="61" t="s">
        <v>1418</v>
      </c>
      <c r="E187" s="60" t="s">
        <v>1419</v>
      </c>
      <c r="F187" s="60" t="s">
        <v>1420</v>
      </c>
      <c r="G187" s="60" t="s">
        <v>1421</v>
      </c>
      <c r="H187" s="60" t="s">
        <v>1422</v>
      </c>
      <c r="I187" s="60" t="s">
        <v>1423</v>
      </c>
      <c r="J187" s="60" t="s">
        <v>1424</v>
      </c>
      <c r="K187" s="60"/>
      <c r="L187" s="60">
        <f t="shared" si="34"/>
        <v>950</v>
      </c>
      <c r="M187" s="60"/>
      <c r="N187" s="26" t="s">
        <v>664</v>
      </c>
      <c r="O187" s="5"/>
      <c r="P187" s="5"/>
      <c r="Q187" s="5"/>
      <c r="R187" s="5"/>
      <c r="S187" s="5"/>
      <c r="T187" s="5"/>
      <c r="U187" s="5"/>
      <c r="V187" s="5"/>
    </row>
    <row r="188" ht="14.25" customHeight="1">
      <c r="A188" s="59">
        <f t="shared" si="35"/>
        <v>15.17</v>
      </c>
      <c r="B188" s="60" t="s">
        <v>1307</v>
      </c>
      <c r="C188" s="60" t="s">
        <v>1308</v>
      </c>
      <c r="D188" s="61" t="s">
        <v>1425</v>
      </c>
      <c r="E188" s="60" t="s">
        <v>1426</v>
      </c>
      <c r="F188" s="60" t="s">
        <v>1427</v>
      </c>
      <c r="G188" s="60" t="s">
        <v>1428</v>
      </c>
      <c r="H188" s="60" t="s">
        <v>1429</v>
      </c>
      <c r="I188" s="60" t="s">
        <v>1430</v>
      </c>
      <c r="J188" s="60" t="s">
        <v>1431</v>
      </c>
      <c r="K188" s="60"/>
      <c r="L188" s="60">
        <f t="shared" si="34"/>
        <v>951</v>
      </c>
      <c r="M188" s="60"/>
      <c r="N188" s="26" t="s">
        <v>664</v>
      </c>
      <c r="O188" s="5"/>
      <c r="P188" s="5"/>
      <c r="Q188" s="5"/>
      <c r="R188" s="5"/>
      <c r="S188" s="5"/>
      <c r="T188" s="5"/>
      <c r="U188" s="5"/>
      <c r="V188" s="5"/>
    </row>
    <row r="189" ht="14.25" customHeight="1">
      <c r="A189" s="59">
        <f t="shared" si="35"/>
        <v>15.18</v>
      </c>
      <c r="B189" s="60" t="s">
        <v>1307</v>
      </c>
      <c r="C189" s="60" t="s">
        <v>1308</v>
      </c>
      <c r="D189" s="61" t="s">
        <v>1432</v>
      </c>
      <c r="E189" s="60" t="s">
        <v>1433</v>
      </c>
      <c r="F189" s="60" t="s">
        <v>1434</v>
      </c>
      <c r="G189" s="60" t="s">
        <v>1435</v>
      </c>
      <c r="H189" s="60" t="s">
        <v>1436</v>
      </c>
      <c r="I189" s="60" t="s">
        <v>1437</v>
      </c>
      <c r="J189" s="60" t="s">
        <v>1438</v>
      </c>
      <c r="K189" s="60"/>
      <c r="L189" s="60">
        <f t="shared" si="34"/>
        <v>952</v>
      </c>
      <c r="M189" s="60"/>
      <c r="N189" s="26" t="s">
        <v>664</v>
      </c>
      <c r="O189" s="5"/>
      <c r="P189" s="5"/>
      <c r="Q189" s="5"/>
      <c r="R189" s="5"/>
      <c r="S189" s="5"/>
      <c r="T189" s="5"/>
      <c r="U189" s="5"/>
      <c r="V189" s="5"/>
    </row>
    <row r="190" ht="14.25" customHeight="1">
      <c r="A190" s="59">
        <f t="shared" si="35"/>
        <v>15.19</v>
      </c>
      <c r="B190" s="60" t="s">
        <v>1307</v>
      </c>
      <c r="C190" s="60" t="s">
        <v>1308</v>
      </c>
      <c r="D190" s="61" t="s">
        <v>1439</v>
      </c>
      <c r="E190" s="60" t="s">
        <v>1440</v>
      </c>
      <c r="F190" s="60" t="s">
        <v>1441</v>
      </c>
      <c r="G190" s="60" t="s">
        <v>1442</v>
      </c>
      <c r="H190" s="60" t="s">
        <v>1443</v>
      </c>
      <c r="I190" s="60" t="s">
        <v>1444</v>
      </c>
      <c r="J190" s="60" t="s">
        <v>1445</v>
      </c>
      <c r="K190" s="60"/>
      <c r="L190" s="60">
        <f t="shared" si="34"/>
        <v>953</v>
      </c>
      <c r="M190" s="60"/>
      <c r="N190" s="26" t="s">
        <v>664</v>
      </c>
      <c r="O190" s="5"/>
      <c r="P190" s="5"/>
      <c r="Q190" s="5"/>
      <c r="R190" s="5"/>
      <c r="S190" s="5"/>
      <c r="T190" s="5"/>
      <c r="U190" s="5"/>
      <c r="V190" s="5"/>
    </row>
    <row r="191" ht="14.25" customHeight="1">
      <c r="A191" s="63" t="s">
        <v>1446</v>
      </c>
      <c r="B191" s="64" t="s">
        <v>1307</v>
      </c>
      <c r="C191" s="64" t="s">
        <v>1308</v>
      </c>
      <c r="D191" s="65" t="s">
        <v>1447</v>
      </c>
      <c r="E191" s="64" t="s">
        <v>1448</v>
      </c>
      <c r="F191" s="64" t="s">
        <v>1449</v>
      </c>
      <c r="G191" s="64" t="s">
        <v>1450</v>
      </c>
      <c r="H191" s="64" t="s">
        <v>1451</v>
      </c>
      <c r="I191" s="64" t="s">
        <v>1452</v>
      </c>
      <c r="J191" s="64" t="s">
        <v>1453</v>
      </c>
      <c r="K191" s="64"/>
      <c r="L191" s="64">
        <f t="shared" si="34"/>
        <v>954</v>
      </c>
      <c r="M191" s="64"/>
      <c r="N191" s="24" t="s">
        <v>664</v>
      </c>
      <c r="O191" s="5"/>
      <c r="P191" s="5"/>
      <c r="Q191" s="5"/>
      <c r="R191" s="5"/>
      <c r="S191" s="5"/>
      <c r="T191" s="5"/>
      <c r="U191" s="5"/>
      <c r="V191" s="5"/>
    </row>
    <row r="192" ht="14.25" customHeight="1">
      <c r="A192" s="9">
        <v>16.1</v>
      </c>
      <c r="B192" s="11" t="s">
        <v>1454</v>
      </c>
      <c r="C192" s="36" t="s">
        <v>1455</v>
      </c>
      <c r="D192" s="11" t="s">
        <v>1456</v>
      </c>
      <c r="E192" s="11" t="s">
        <v>1457</v>
      </c>
      <c r="F192" s="11" t="s">
        <v>1458</v>
      </c>
      <c r="G192" s="11" t="s">
        <v>1459</v>
      </c>
      <c r="H192" s="11" t="s">
        <v>1460</v>
      </c>
      <c r="I192" s="11" t="s">
        <v>1461</v>
      </c>
      <c r="J192" s="11" t="s">
        <v>1462</v>
      </c>
      <c r="K192" s="11"/>
      <c r="L192" s="11">
        <v>955.0</v>
      </c>
      <c r="M192" s="11" t="s">
        <v>1463</v>
      </c>
      <c r="N192" s="25" t="s">
        <v>664</v>
      </c>
      <c r="O192" s="5"/>
      <c r="P192" s="5"/>
      <c r="Q192" s="5"/>
      <c r="R192" s="5"/>
      <c r="S192" s="5"/>
      <c r="T192" s="5"/>
      <c r="U192" s="5"/>
      <c r="V192" s="5"/>
    </row>
    <row r="193" ht="14.25" customHeight="1">
      <c r="A193" s="51">
        <f t="shared" ref="A193:A200" si="36">+A192+0.1</f>
        <v>16.2</v>
      </c>
      <c r="B193" s="11" t="s">
        <v>1454</v>
      </c>
      <c r="C193" s="36" t="s">
        <v>1455</v>
      </c>
      <c r="D193" s="2" t="s">
        <v>1464</v>
      </c>
      <c r="E193" s="2" t="s">
        <v>1465</v>
      </c>
      <c r="F193" s="2" t="s">
        <v>1466</v>
      </c>
      <c r="G193" s="2" t="s">
        <v>1467</v>
      </c>
      <c r="H193" s="2" t="s">
        <v>1468</v>
      </c>
      <c r="I193" s="2" t="s">
        <v>1469</v>
      </c>
      <c r="J193" s="2" t="s">
        <v>1470</v>
      </c>
      <c r="K193" s="2"/>
      <c r="L193" s="2">
        <f t="shared" ref="L193:L212" si="37">L192+1</f>
        <v>956</v>
      </c>
      <c r="M193" s="2" t="s">
        <v>1471</v>
      </c>
      <c r="N193" s="26" t="s">
        <v>664</v>
      </c>
      <c r="O193" s="5"/>
      <c r="P193" s="5"/>
      <c r="Q193" s="5"/>
      <c r="R193" s="5"/>
      <c r="S193" s="5"/>
      <c r="T193" s="5"/>
      <c r="U193" s="5"/>
      <c r="V193" s="5"/>
    </row>
    <row r="194" ht="14.25" customHeight="1">
      <c r="A194" s="51">
        <f t="shared" si="36"/>
        <v>16.3</v>
      </c>
      <c r="B194" s="11" t="s">
        <v>1454</v>
      </c>
      <c r="C194" s="36" t="s">
        <v>1455</v>
      </c>
      <c r="D194" s="2" t="s">
        <v>1472</v>
      </c>
      <c r="E194" s="2" t="s">
        <v>1473</v>
      </c>
      <c r="F194" s="2" t="s">
        <v>1474</v>
      </c>
      <c r="G194" s="2" t="s">
        <v>1475</v>
      </c>
      <c r="H194" s="5" t="s">
        <v>1476</v>
      </c>
      <c r="I194" s="2" t="s">
        <v>1477</v>
      </c>
      <c r="J194" s="2" t="s">
        <v>1478</v>
      </c>
      <c r="K194" s="2"/>
      <c r="L194" s="2">
        <f t="shared" si="37"/>
        <v>957</v>
      </c>
      <c r="M194" s="2" t="s">
        <v>1479</v>
      </c>
      <c r="N194" s="26" t="s">
        <v>664</v>
      </c>
      <c r="O194" s="5"/>
      <c r="P194" s="5"/>
      <c r="Q194" s="5"/>
      <c r="R194" s="5"/>
      <c r="S194" s="5"/>
      <c r="T194" s="5"/>
      <c r="U194" s="5"/>
      <c r="V194" s="5"/>
    </row>
    <row r="195" ht="14.25" customHeight="1">
      <c r="A195" s="51">
        <f t="shared" si="36"/>
        <v>16.4</v>
      </c>
      <c r="B195" s="11" t="s">
        <v>1454</v>
      </c>
      <c r="C195" s="36" t="s">
        <v>1455</v>
      </c>
      <c r="D195" s="2" t="s">
        <v>1480</v>
      </c>
      <c r="E195" s="2" t="s">
        <v>1481</v>
      </c>
      <c r="F195" s="2" t="s">
        <v>1482</v>
      </c>
      <c r="G195" s="2" t="s">
        <v>1483</v>
      </c>
      <c r="H195" s="2" t="s">
        <v>1484</v>
      </c>
      <c r="I195" s="2" t="s">
        <v>1485</v>
      </c>
      <c r="J195" s="2" t="s">
        <v>1486</v>
      </c>
      <c r="K195" s="2"/>
      <c r="L195" s="2">
        <f t="shared" si="37"/>
        <v>958</v>
      </c>
      <c r="M195" s="2"/>
      <c r="N195" s="26" t="s">
        <v>664</v>
      </c>
      <c r="O195" s="5"/>
      <c r="P195" s="5"/>
      <c r="Q195" s="5"/>
      <c r="R195" s="5"/>
      <c r="S195" s="5"/>
      <c r="T195" s="5"/>
      <c r="U195" s="5"/>
      <c r="V195" s="5"/>
    </row>
    <row r="196" ht="14.25" customHeight="1">
      <c r="A196" s="51">
        <f t="shared" si="36"/>
        <v>16.5</v>
      </c>
      <c r="B196" s="11" t="s">
        <v>1454</v>
      </c>
      <c r="C196" s="36" t="s">
        <v>1455</v>
      </c>
      <c r="D196" s="2" t="s">
        <v>1487</v>
      </c>
      <c r="E196" s="2" t="s">
        <v>1488</v>
      </c>
      <c r="F196" s="2" t="s">
        <v>1489</v>
      </c>
      <c r="G196" s="2" t="s">
        <v>1490</v>
      </c>
      <c r="H196" s="2" t="s">
        <v>1491</v>
      </c>
      <c r="I196" s="2" t="s">
        <v>1492</v>
      </c>
      <c r="J196" s="2" t="s">
        <v>1493</v>
      </c>
      <c r="K196" s="2"/>
      <c r="L196" s="2">
        <f t="shared" si="37"/>
        <v>959</v>
      </c>
      <c r="M196" s="2"/>
      <c r="N196" s="26" t="s">
        <v>664</v>
      </c>
      <c r="O196" s="5"/>
      <c r="P196" s="5"/>
      <c r="Q196" s="5"/>
      <c r="R196" s="5"/>
      <c r="S196" s="5"/>
      <c r="T196" s="5"/>
      <c r="U196" s="5"/>
      <c r="V196" s="5"/>
    </row>
    <row r="197" ht="14.25" customHeight="1">
      <c r="A197" s="51">
        <f t="shared" si="36"/>
        <v>16.6</v>
      </c>
      <c r="B197" s="11" t="s">
        <v>1454</v>
      </c>
      <c r="C197" s="36" t="s">
        <v>1455</v>
      </c>
      <c r="D197" s="2" t="s">
        <v>1494</v>
      </c>
      <c r="E197" s="2" t="s">
        <v>1495</v>
      </c>
      <c r="F197" s="2" t="s">
        <v>1496</v>
      </c>
      <c r="G197" s="2" t="s">
        <v>1497</v>
      </c>
      <c r="H197" s="2" t="s">
        <v>1498</v>
      </c>
      <c r="I197" s="2" t="s">
        <v>1499</v>
      </c>
      <c r="J197" s="2" t="s">
        <v>1500</v>
      </c>
      <c r="K197" s="2"/>
      <c r="L197" s="2">
        <f t="shared" si="37"/>
        <v>960</v>
      </c>
      <c r="M197" s="2"/>
      <c r="N197" s="26" t="s">
        <v>664</v>
      </c>
      <c r="O197" s="5"/>
      <c r="P197" s="5"/>
      <c r="Q197" s="5"/>
      <c r="R197" s="5"/>
      <c r="S197" s="5"/>
      <c r="T197" s="5"/>
      <c r="U197" s="5"/>
      <c r="V197" s="5"/>
    </row>
    <row r="198" ht="14.25" customHeight="1">
      <c r="A198" s="51">
        <f t="shared" si="36"/>
        <v>16.7</v>
      </c>
      <c r="B198" s="11" t="s">
        <v>1454</v>
      </c>
      <c r="C198" s="36" t="s">
        <v>1455</v>
      </c>
      <c r="D198" s="2" t="s">
        <v>1501</v>
      </c>
      <c r="E198" s="2" t="s">
        <v>1502</v>
      </c>
      <c r="F198" s="2" t="s">
        <v>1503</v>
      </c>
      <c r="G198" s="2" t="s">
        <v>1504</v>
      </c>
      <c r="H198" s="2" t="s">
        <v>1505</v>
      </c>
      <c r="I198" s="2" t="s">
        <v>1506</v>
      </c>
      <c r="J198" s="2" t="s">
        <v>1507</v>
      </c>
      <c r="K198" s="2"/>
      <c r="L198" s="2">
        <f t="shared" si="37"/>
        <v>961</v>
      </c>
      <c r="M198" s="2"/>
      <c r="N198" s="26" t="s">
        <v>664</v>
      </c>
      <c r="O198" s="5"/>
      <c r="P198" s="5"/>
      <c r="Q198" s="5"/>
      <c r="R198" s="5"/>
      <c r="S198" s="5"/>
      <c r="T198" s="5"/>
      <c r="U198" s="5"/>
      <c r="V198" s="5"/>
    </row>
    <row r="199" ht="14.25" customHeight="1">
      <c r="A199" s="51">
        <f t="shared" si="36"/>
        <v>16.8</v>
      </c>
      <c r="B199" s="11" t="s">
        <v>1454</v>
      </c>
      <c r="C199" s="36" t="s">
        <v>1455</v>
      </c>
      <c r="D199" s="2" t="s">
        <v>1508</v>
      </c>
      <c r="E199" s="2" t="s">
        <v>1509</v>
      </c>
      <c r="F199" s="2" t="s">
        <v>1510</v>
      </c>
      <c r="G199" s="2" t="s">
        <v>1511</v>
      </c>
      <c r="H199" s="2" t="s">
        <v>1512</v>
      </c>
      <c r="I199" s="2" t="s">
        <v>1513</v>
      </c>
      <c r="J199" s="2" t="s">
        <v>1514</v>
      </c>
      <c r="K199" s="2"/>
      <c r="L199" s="2">
        <f t="shared" si="37"/>
        <v>962</v>
      </c>
      <c r="M199" s="2"/>
      <c r="N199" s="26" t="s">
        <v>664</v>
      </c>
      <c r="O199" s="5"/>
      <c r="P199" s="5"/>
      <c r="Q199" s="5"/>
      <c r="R199" s="5"/>
      <c r="S199" s="5"/>
      <c r="T199" s="5"/>
      <c r="U199" s="5"/>
      <c r="V199" s="5"/>
    </row>
    <row r="200" ht="14.25" customHeight="1">
      <c r="A200" s="51">
        <f t="shared" si="36"/>
        <v>16.9</v>
      </c>
      <c r="B200" s="11" t="s">
        <v>1454</v>
      </c>
      <c r="C200" s="36" t="s">
        <v>1455</v>
      </c>
      <c r="D200" s="2" t="s">
        <v>1515</v>
      </c>
      <c r="E200" s="2" t="s">
        <v>1516</v>
      </c>
      <c r="F200" s="2" t="s">
        <v>1517</v>
      </c>
      <c r="G200" s="2" t="s">
        <v>1518</v>
      </c>
      <c r="H200" s="2" t="s">
        <v>1519</v>
      </c>
      <c r="I200" s="2" t="s">
        <v>1520</v>
      </c>
      <c r="J200" s="2" t="s">
        <v>1521</v>
      </c>
      <c r="K200" s="2"/>
      <c r="L200" s="2">
        <f t="shared" si="37"/>
        <v>963</v>
      </c>
      <c r="M200" s="2"/>
      <c r="N200" s="26" t="s">
        <v>664</v>
      </c>
      <c r="O200" s="5"/>
      <c r="P200" s="5"/>
      <c r="Q200" s="5"/>
      <c r="R200" s="5"/>
      <c r="S200" s="5"/>
      <c r="T200" s="5"/>
      <c r="U200" s="5"/>
      <c r="V200" s="5"/>
    </row>
    <row r="201" ht="14.25" customHeight="1">
      <c r="A201" s="51" t="s">
        <v>1522</v>
      </c>
      <c r="B201" s="11" t="s">
        <v>1454</v>
      </c>
      <c r="C201" s="36" t="s">
        <v>1455</v>
      </c>
      <c r="D201" s="2" t="s">
        <v>1523</v>
      </c>
      <c r="E201" s="2" t="s">
        <v>1524</v>
      </c>
      <c r="F201" s="2" t="s">
        <v>1525</v>
      </c>
      <c r="G201" s="2" t="s">
        <v>1526</v>
      </c>
      <c r="H201" s="2" t="s">
        <v>1527</v>
      </c>
      <c r="I201" s="2" t="s">
        <v>1528</v>
      </c>
      <c r="J201" s="2" t="s">
        <v>1529</v>
      </c>
      <c r="K201" s="2"/>
      <c r="L201" s="2">
        <f t="shared" si="37"/>
        <v>964</v>
      </c>
      <c r="M201" s="2"/>
      <c r="N201" s="26" t="s">
        <v>664</v>
      </c>
      <c r="O201" s="5"/>
      <c r="P201" s="5"/>
      <c r="Q201" s="5"/>
      <c r="R201" s="5"/>
      <c r="S201" s="5"/>
      <c r="T201" s="5"/>
      <c r="U201" s="5"/>
      <c r="V201" s="5"/>
    </row>
    <row r="202" ht="14.25" customHeight="1">
      <c r="A202" s="51">
        <v>16.11</v>
      </c>
      <c r="B202" s="11" t="s">
        <v>1454</v>
      </c>
      <c r="C202" s="36" t="s">
        <v>1455</v>
      </c>
      <c r="D202" s="2" t="s">
        <v>1530</v>
      </c>
      <c r="E202" s="2" t="s">
        <v>1531</v>
      </c>
      <c r="F202" s="2" t="s">
        <v>1532</v>
      </c>
      <c r="G202" s="2" t="s">
        <v>1533</v>
      </c>
      <c r="H202" s="2" t="s">
        <v>1534</v>
      </c>
      <c r="I202" s="2" t="s">
        <v>1535</v>
      </c>
      <c r="J202" s="2" t="s">
        <v>1536</v>
      </c>
      <c r="K202" s="2"/>
      <c r="L202" s="2">
        <f t="shared" si="37"/>
        <v>965</v>
      </c>
      <c r="M202" s="2"/>
      <c r="N202" s="26" t="s">
        <v>664</v>
      </c>
      <c r="O202" s="5"/>
      <c r="P202" s="5"/>
      <c r="Q202" s="5"/>
      <c r="R202" s="5"/>
      <c r="S202" s="5"/>
      <c r="T202" s="5"/>
      <c r="U202" s="5"/>
      <c r="V202" s="5"/>
    </row>
    <row r="203" ht="14.25" customHeight="1">
      <c r="A203" s="51">
        <f t="shared" ref="A203:A210" si="38">+A202+0.01</f>
        <v>16.12</v>
      </c>
      <c r="B203" s="11" t="s">
        <v>1454</v>
      </c>
      <c r="C203" s="36" t="s">
        <v>1455</v>
      </c>
      <c r="D203" s="2" t="s">
        <v>1537</v>
      </c>
      <c r="E203" s="2" t="s">
        <v>1538</v>
      </c>
      <c r="F203" s="2" t="s">
        <v>1539</v>
      </c>
      <c r="G203" s="2" t="s">
        <v>1540</v>
      </c>
      <c r="H203" s="2" t="s">
        <v>1541</v>
      </c>
      <c r="I203" s="2" t="s">
        <v>1542</v>
      </c>
      <c r="J203" s="2" t="s">
        <v>1543</v>
      </c>
      <c r="K203" s="2"/>
      <c r="L203" s="2">
        <f t="shared" si="37"/>
        <v>966</v>
      </c>
      <c r="M203" s="2"/>
      <c r="N203" s="26" t="s">
        <v>664</v>
      </c>
      <c r="O203" s="5"/>
      <c r="P203" s="5"/>
      <c r="Q203" s="5"/>
      <c r="R203" s="5"/>
      <c r="S203" s="5"/>
      <c r="T203" s="5"/>
      <c r="U203" s="5"/>
      <c r="V203" s="5"/>
    </row>
    <row r="204" ht="14.25" customHeight="1">
      <c r="A204" s="51">
        <f t="shared" si="38"/>
        <v>16.13</v>
      </c>
      <c r="B204" s="11" t="s">
        <v>1454</v>
      </c>
      <c r="C204" s="36" t="s">
        <v>1455</v>
      </c>
      <c r="D204" s="2" t="s">
        <v>1544</v>
      </c>
      <c r="E204" s="2" t="s">
        <v>1545</v>
      </c>
      <c r="F204" s="2" t="s">
        <v>1546</v>
      </c>
      <c r="G204" s="2" t="s">
        <v>1547</v>
      </c>
      <c r="H204" s="2" t="s">
        <v>1548</v>
      </c>
      <c r="I204" s="2" t="s">
        <v>1549</v>
      </c>
      <c r="J204" s="2" t="s">
        <v>1550</v>
      </c>
      <c r="K204" s="2"/>
      <c r="L204" s="2">
        <f t="shared" si="37"/>
        <v>967</v>
      </c>
      <c r="M204" s="2"/>
      <c r="N204" s="26" t="s">
        <v>664</v>
      </c>
      <c r="O204" s="5"/>
      <c r="P204" s="5"/>
      <c r="Q204" s="5"/>
      <c r="R204" s="5"/>
      <c r="S204" s="5"/>
      <c r="T204" s="5"/>
      <c r="U204" s="5"/>
      <c r="V204" s="5"/>
    </row>
    <row r="205" ht="14.25" customHeight="1">
      <c r="A205" s="51">
        <f t="shared" si="38"/>
        <v>16.14</v>
      </c>
      <c r="B205" s="11" t="s">
        <v>1454</v>
      </c>
      <c r="C205" s="36" t="s">
        <v>1455</v>
      </c>
      <c r="D205" s="2" t="s">
        <v>1551</v>
      </c>
      <c r="E205" s="2" t="s">
        <v>1552</v>
      </c>
      <c r="F205" s="2" t="s">
        <v>1553</v>
      </c>
      <c r="G205" s="2" t="s">
        <v>1554</v>
      </c>
      <c r="H205" s="2" t="s">
        <v>1555</v>
      </c>
      <c r="I205" s="2" t="s">
        <v>1556</v>
      </c>
      <c r="J205" s="2" t="s">
        <v>1557</v>
      </c>
      <c r="K205" s="2"/>
      <c r="L205" s="2">
        <f t="shared" si="37"/>
        <v>968</v>
      </c>
      <c r="M205" s="2"/>
      <c r="N205" s="26" t="s">
        <v>664</v>
      </c>
      <c r="O205" s="5"/>
      <c r="P205" s="5"/>
      <c r="Q205" s="5"/>
      <c r="R205" s="5"/>
      <c r="S205" s="5"/>
      <c r="T205" s="5"/>
      <c r="U205" s="5"/>
      <c r="V205" s="5"/>
    </row>
    <row r="206" ht="14.25" customHeight="1">
      <c r="A206" s="51">
        <f t="shared" si="38"/>
        <v>16.15</v>
      </c>
      <c r="B206" s="11" t="s">
        <v>1454</v>
      </c>
      <c r="C206" s="36" t="s">
        <v>1455</v>
      </c>
      <c r="D206" s="2" t="s">
        <v>1558</v>
      </c>
      <c r="E206" s="2" t="s">
        <v>1559</v>
      </c>
      <c r="F206" s="2" t="s">
        <v>1560</v>
      </c>
      <c r="G206" s="2" t="s">
        <v>1561</v>
      </c>
      <c r="H206" s="2" t="s">
        <v>1562</v>
      </c>
      <c r="I206" s="2" t="s">
        <v>1563</v>
      </c>
      <c r="J206" s="2" t="s">
        <v>1564</v>
      </c>
      <c r="K206" s="2"/>
      <c r="L206" s="2">
        <f t="shared" si="37"/>
        <v>969</v>
      </c>
      <c r="M206" s="2"/>
      <c r="N206" s="26" t="s">
        <v>664</v>
      </c>
      <c r="O206" s="5"/>
      <c r="P206" s="5"/>
      <c r="Q206" s="5"/>
      <c r="R206" s="5"/>
      <c r="S206" s="5"/>
      <c r="T206" s="5"/>
      <c r="U206" s="5"/>
      <c r="V206" s="5"/>
    </row>
    <row r="207" ht="14.25" customHeight="1">
      <c r="A207" s="51">
        <f t="shared" si="38"/>
        <v>16.16</v>
      </c>
      <c r="B207" s="11" t="s">
        <v>1454</v>
      </c>
      <c r="C207" s="36" t="s">
        <v>1455</v>
      </c>
      <c r="D207" s="2" t="s">
        <v>1565</v>
      </c>
      <c r="E207" s="2" t="s">
        <v>1566</v>
      </c>
      <c r="F207" s="2" t="s">
        <v>1567</v>
      </c>
      <c r="G207" s="2" t="s">
        <v>1568</v>
      </c>
      <c r="H207" s="2" t="s">
        <v>1569</v>
      </c>
      <c r="I207" s="2" t="s">
        <v>1570</v>
      </c>
      <c r="J207" s="2" t="s">
        <v>1571</v>
      </c>
      <c r="K207" s="2"/>
      <c r="L207" s="2">
        <f t="shared" si="37"/>
        <v>970</v>
      </c>
      <c r="M207" s="2"/>
      <c r="N207" s="26" t="s">
        <v>664</v>
      </c>
      <c r="O207" s="5"/>
      <c r="P207" s="5"/>
      <c r="Q207" s="5"/>
      <c r="R207" s="5"/>
      <c r="S207" s="5"/>
      <c r="T207" s="5"/>
      <c r="U207" s="5"/>
      <c r="V207" s="5"/>
    </row>
    <row r="208" ht="14.25" customHeight="1">
      <c r="A208" s="51">
        <f t="shared" si="38"/>
        <v>16.17</v>
      </c>
      <c r="B208" s="11" t="s">
        <v>1454</v>
      </c>
      <c r="C208" s="36" t="s">
        <v>1455</v>
      </c>
      <c r="D208" s="2" t="s">
        <v>1572</v>
      </c>
      <c r="E208" s="2" t="s">
        <v>1573</v>
      </c>
      <c r="F208" s="2" t="s">
        <v>1574</v>
      </c>
      <c r="G208" s="2" t="s">
        <v>1575</v>
      </c>
      <c r="H208" s="2" t="s">
        <v>1576</v>
      </c>
      <c r="I208" s="2" t="s">
        <v>1577</v>
      </c>
      <c r="J208" s="2" t="s">
        <v>1578</v>
      </c>
      <c r="K208" s="2"/>
      <c r="L208" s="2">
        <f t="shared" si="37"/>
        <v>971</v>
      </c>
      <c r="M208" s="2"/>
      <c r="N208" s="26" t="s">
        <v>664</v>
      </c>
      <c r="O208" s="5"/>
      <c r="P208" s="5"/>
      <c r="Q208" s="5"/>
      <c r="R208" s="5"/>
      <c r="S208" s="5"/>
      <c r="T208" s="5"/>
      <c r="U208" s="5"/>
      <c r="V208" s="5"/>
    </row>
    <row r="209" ht="14.25" customHeight="1">
      <c r="A209" s="51">
        <f t="shared" si="38"/>
        <v>16.18</v>
      </c>
      <c r="B209" s="11" t="s">
        <v>1454</v>
      </c>
      <c r="C209" s="36" t="s">
        <v>1455</v>
      </c>
      <c r="D209" s="2" t="s">
        <v>1579</v>
      </c>
      <c r="E209" s="2" t="s">
        <v>1580</v>
      </c>
      <c r="F209" s="2" t="s">
        <v>1581</v>
      </c>
      <c r="G209" s="2" t="s">
        <v>1582</v>
      </c>
      <c r="H209" s="2" t="s">
        <v>1583</v>
      </c>
      <c r="I209" s="2" t="s">
        <v>1584</v>
      </c>
      <c r="J209" s="2" t="s">
        <v>1585</v>
      </c>
      <c r="K209" s="2"/>
      <c r="L209" s="2">
        <f t="shared" si="37"/>
        <v>972</v>
      </c>
      <c r="M209" s="2"/>
      <c r="N209" s="26" t="s">
        <v>664</v>
      </c>
      <c r="O209" s="5"/>
      <c r="P209" s="5"/>
      <c r="Q209" s="5"/>
      <c r="R209" s="5"/>
      <c r="S209" s="5"/>
      <c r="T209" s="5"/>
      <c r="U209" s="5"/>
      <c r="V209" s="5"/>
    </row>
    <row r="210" ht="14.25" customHeight="1">
      <c r="A210" s="51">
        <f t="shared" si="38"/>
        <v>16.19</v>
      </c>
      <c r="B210" s="11" t="s">
        <v>1454</v>
      </c>
      <c r="C210" s="36" t="s">
        <v>1455</v>
      </c>
      <c r="D210" s="2" t="s">
        <v>1586</v>
      </c>
      <c r="E210" s="2" t="s">
        <v>1587</v>
      </c>
      <c r="F210" s="2" t="s">
        <v>1588</v>
      </c>
      <c r="G210" s="2" t="s">
        <v>1589</v>
      </c>
      <c r="H210" s="2" t="s">
        <v>1590</v>
      </c>
      <c r="I210" s="2" t="s">
        <v>1591</v>
      </c>
      <c r="J210" s="2" t="s">
        <v>1592</v>
      </c>
      <c r="K210" s="2"/>
      <c r="L210" s="2">
        <f t="shared" si="37"/>
        <v>973</v>
      </c>
      <c r="M210" s="2"/>
      <c r="N210" s="26" t="s">
        <v>664</v>
      </c>
      <c r="O210" s="5"/>
      <c r="P210" s="5"/>
      <c r="Q210" s="5"/>
      <c r="R210" s="5"/>
      <c r="S210" s="5"/>
      <c r="T210" s="5"/>
      <c r="U210" s="5"/>
      <c r="V210" s="5"/>
    </row>
    <row r="211" ht="14.25" customHeight="1">
      <c r="A211" s="51" t="s">
        <v>1593</v>
      </c>
      <c r="B211" s="11" t="s">
        <v>1454</v>
      </c>
      <c r="C211" s="36" t="s">
        <v>1455</v>
      </c>
      <c r="D211" s="2" t="s">
        <v>1594</v>
      </c>
      <c r="E211" s="2" t="s">
        <v>1595</v>
      </c>
      <c r="F211" s="2" t="s">
        <v>1596</v>
      </c>
      <c r="G211" s="2" t="s">
        <v>1597</v>
      </c>
      <c r="H211" s="2" t="s">
        <v>1598</v>
      </c>
      <c r="I211" s="2" t="s">
        <v>1599</v>
      </c>
      <c r="J211" s="2" t="s">
        <v>1600</v>
      </c>
      <c r="K211" s="2"/>
      <c r="L211" s="2">
        <f t="shared" si="37"/>
        <v>974</v>
      </c>
      <c r="M211" s="2"/>
      <c r="N211" s="26" t="s">
        <v>664</v>
      </c>
      <c r="O211" s="5"/>
      <c r="P211" s="5"/>
      <c r="Q211" s="5"/>
      <c r="R211" s="5"/>
      <c r="S211" s="5"/>
      <c r="T211" s="5"/>
      <c r="U211" s="5"/>
      <c r="V211" s="5"/>
    </row>
    <row r="212" ht="14.25" customHeight="1">
      <c r="A212" s="20">
        <v>16.21</v>
      </c>
      <c r="B212" s="33" t="s">
        <v>1454</v>
      </c>
      <c r="C212" s="46" t="s">
        <v>1455</v>
      </c>
      <c r="D212" s="22" t="s">
        <v>1601</v>
      </c>
      <c r="E212" s="22" t="s">
        <v>1602</v>
      </c>
      <c r="F212" s="22" t="s">
        <v>1603</v>
      </c>
      <c r="G212" s="22" t="s">
        <v>1604</v>
      </c>
      <c r="H212" s="22" t="s">
        <v>1605</v>
      </c>
      <c r="I212" s="22" t="s">
        <v>1606</v>
      </c>
      <c r="J212" s="22" t="s">
        <v>1607</v>
      </c>
      <c r="K212" s="22"/>
      <c r="L212" s="22">
        <f t="shared" si="37"/>
        <v>975</v>
      </c>
      <c r="M212" s="22"/>
      <c r="N212" s="24" t="s">
        <v>664</v>
      </c>
      <c r="O212" s="5"/>
      <c r="P212" s="5"/>
      <c r="Q212" s="5"/>
      <c r="R212" s="5"/>
      <c r="S212" s="5"/>
      <c r="T212" s="5"/>
      <c r="U212" s="5"/>
      <c r="V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row>
  </sheetData>
  <autoFilter ref="$A$2:$N$2"/>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13"/>
    <col customWidth="1" min="2" max="2" width="25.38"/>
    <col customWidth="1" min="3" max="6" width="30.0"/>
    <col customWidth="1" min="7" max="7" width="24.88"/>
    <col customWidth="1" min="8" max="23" width="10.63"/>
  </cols>
  <sheetData>
    <row r="1" ht="14.25" customHeight="1">
      <c r="A1" s="66" t="s">
        <v>1608</v>
      </c>
      <c r="B1" s="67"/>
      <c r="C1" s="68" t="s">
        <v>5</v>
      </c>
      <c r="D1" s="68" t="s">
        <v>4</v>
      </c>
      <c r="E1" s="69" t="s">
        <v>1609</v>
      </c>
      <c r="F1" s="68" t="s">
        <v>3</v>
      </c>
      <c r="G1" s="70"/>
      <c r="H1" s="70"/>
      <c r="I1" s="70"/>
      <c r="J1" s="70"/>
      <c r="K1" s="70"/>
      <c r="L1" s="70"/>
      <c r="M1" s="70"/>
      <c r="N1" s="70"/>
      <c r="O1" s="70"/>
      <c r="P1" s="70"/>
      <c r="Q1" s="70"/>
      <c r="R1" s="70"/>
      <c r="S1" s="70"/>
      <c r="T1" s="70"/>
      <c r="U1" s="70"/>
      <c r="V1" s="70"/>
      <c r="W1" s="70"/>
    </row>
    <row r="2" ht="14.25" customHeight="1">
      <c r="A2" s="71" t="s">
        <v>10</v>
      </c>
      <c r="B2" s="71" t="s">
        <v>13</v>
      </c>
      <c r="C2" s="72" t="s">
        <v>17</v>
      </c>
      <c r="D2" s="72" t="s">
        <v>16</v>
      </c>
      <c r="E2" s="73" t="s">
        <v>1610</v>
      </c>
      <c r="F2" s="72" t="s">
        <v>15</v>
      </c>
      <c r="G2" s="72" t="s">
        <v>20</v>
      </c>
      <c r="H2" s="70"/>
      <c r="I2" s="70"/>
      <c r="J2" s="70"/>
      <c r="K2" s="70"/>
      <c r="L2" s="70"/>
      <c r="M2" s="70"/>
      <c r="N2" s="70"/>
      <c r="O2" s="70"/>
      <c r="P2" s="70"/>
      <c r="Q2" s="70"/>
      <c r="R2" s="70"/>
      <c r="S2" s="70"/>
      <c r="T2" s="70"/>
      <c r="U2" s="70"/>
      <c r="V2" s="70"/>
      <c r="W2" s="70"/>
    </row>
    <row r="3" ht="14.25" customHeight="1">
      <c r="A3" s="74" t="s">
        <v>1611</v>
      </c>
      <c r="B3" s="75" t="s">
        <v>1612</v>
      </c>
      <c r="C3" s="75" t="s">
        <v>1613</v>
      </c>
      <c r="D3" s="75" t="s">
        <v>1614</v>
      </c>
      <c r="E3" s="75" t="s">
        <v>1615</v>
      </c>
      <c r="F3" s="75" t="s">
        <v>1616</v>
      </c>
      <c r="G3" s="76"/>
      <c r="H3" s="70"/>
      <c r="I3" s="70"/>
      <c r="J3" s="70"/>
      <c r="K3" s="70"/>
      <c r="L3" s="70"/>
      <c r="M3" s="70"/>
      <c r="N3" s="70"/>
      <c r="O3" s="70"/>
      <c r="P3" s="70"/>
      <c r="Q3" s="70"/>
      <c r="R3" s="70"/>
      <c r="S3" s="70"/>
      <c r="T3" s="70"/>
      <c r="U3" s="70"/>
      <c r="V3" s="70"/>
      <c r="W3" s="70"/>
    </row>
    <row r="4" ht="14.25" customHeight="1">
      <c r="A4" s="77" t="s">
        <v>1611</v>
      </c>
      <c r="B4" s="2" t="s">
        <v>1617</v>
      </c>
      <c r="C4" s="2" t="s">
        <v>1618</v>
      </c>
      <c r="D4" s="2" t="s">
        <v>1619</v>
      </c>
      <c r="E4" s="2" t="s">
        <v>1620</v>
      </c>
      <c r="F4" s="2" t="s">
        <v>1621</v>
      </c>
      <c r="G4" s="78"/>
      <c r="H4" s="70"/>
      <c r="I4" s="70"/>
      <c r="J4" s="70"/>
      <c r="K4" s="70"/>
      <c r="L4" s="70"/>
      <c r="M4" s="70"/>
      <c r="N4" s="70"/>
      <c r="O4" s="70"/>
      <c r="P4" s="70"/>
      <c r="Q4" s="70"/>
      <c r="R4" s="70"/>
      <c r="S4" s="70"/>
      <c r="T4" s="70"/>
      <c r="U4" s="70"/>
      <c r="V4" s="70"/>
      <c r="W4" s="70"/>
    </row>
    <row r="5" ht="14.25" customHeight="1">
      <c r="A5" s="77" t="s">
        <v>1611</v>
      </c>
      <c r="B5" s="2" t="s">
        <v>1622</v>
      </c>
      <c r="C5" s="2" t="s">
        <v>1623</v>
      </c>
      <c r="D5" s="2" t="s">
        <v>1624</v>
      </c>
      <c r="E5" s="2" t="s">
        <v>1625</v>
      </c>
      <c r="F5" s="2" t="s">
        <v>1626</v>
      </c>
      <c r="G5" s="78"/>
      <c r="H5" s="70"/>
      <c r="I5" s="70"/>
      <c r="J5" s="70"/>
      <c r="K5" s="70"/>
      <c r="L5" s="70"/>
      <c r="M5" s="70"/>
      <c r="N5" s="70"/>
      <c r="O5" s="70"/>
      <c r="P5" s="70"/>
      <c r="Q5" s="70"/>
      <c r="R5" s="70"/>
      <c r="S5" s="70"/>
      <c r="T5" s="70"/>
      <c r="U5" s="70"/>
      <c r="V5" s="70"/>
      <c r="W5" s="70"/>
    </row>
    <row r="6" ht="14.25" customHeight="1">
      <c r="A6" s="79" t="s">
        <v>1627</v>
      </c>
      <c r="B6" s="80" t="s">
        <v>1628</v>
      </c>
      <c r="C6" s="80" t="s">
        <v>1629</v>
      </c>
      <c r="D6" s="80" t="s">
        <v>1630</v>
      </c>
      <c r="E6" s="80" t="s">
        <v>1631</v>
      </c>
      <c r="F6" s="80" t="s">
        <v>1632</v>
      </c>
      <c r="G6" s="81"/>
      <c r="H6" s="70"/>
      <c r="I6" s="70"/>
      <c r="J6" s="70"/>
      <c r="K6" s="70"/>
      <c r="L6" s="70"/>
      <c r="M6" s="70"/>
      <c r="N6" s="70"/>
      <c r="O6" s="70"/>
      <c r="P6" s="70"/>
      <c r="Q6" s="70"/>
      <c r="R6" s="70"/>
      <c r="S6" s="70"/>
      <c r="T6" s="70"/>
      <c r="U6" s="70"/>
      <c r="V6" s="70"/>
      <c r="W6" s="70"/>
    </row>
    <row r="7" ht="14.25" customHeight="1">
      <c r="A7" s="82" t="s">
        <v>1633</v>
      </c>
      <c r="B7" s="75" t="s">
        <v>1634</v>
      </c>
      <c r="C7" s="75" t="s">
        <v>1635</v>
      </c>
      <c r="D7" s="75" t="s">
        <v>1636</v>
      </c>
      <c r="E7" s="75" t="s">
        <v>1637</v>
      </c>
      <c r="F7" s="75" t="s">
        <v>1638</v>
      </c>
      <c r="G7" s="76"/>
      <c r="H7" s="70"/>
      <c r="I7" s="70"/>
      <c r="J7" s="70"/>
      <c r="K7" s="70"/>
      <c r="L7" s="70"/>
      <c r="M7" s="70"/>
      <c r="N7" s="70"/>
      <c r="O7" s="70"/>
      <c r="P7" s="70"/>
      <c r="Q7" s="70"/>
      <c r="R7" s="70"/>
      <c r="S7" s="70"/>
      <c r="T7" s="70"/>
      <c r="U7" s="70"/>
      <c r="V7" s="70"/>
      <c r="W7" s="70"/>
    </row>
    <row r="8" ht="14.25" customHeight="1">
      <c r="A8" s="79" t="s">
        <v>1633</v>
      </c>
      <c r="B8" s="80" t="s">
        <v>1639</v>
      </c>
      <c r="C8" s="80" t="s">
        <v>1640</v>
      </c>
      <c r="D8" s="80" t="s">
        <v>1641</v>
      </c>
      <c r="E8" s="80" t="s">
        <v>1642</v>
      </c>
      <c r="F8" s="80" t="s">
        <v>1643</v>
      </c>
      <c r="G8" s="81"/>
      <c r="H8" s="70"/>
      <c r="I8" s="70"/>
      <c r="J8" s="70"/>
      <c r="K8" s="70"/>
      <c r="L8" s="70"/>
      <c r="M8" s="70"/>
      <c r="N8" s="70"/>
      <c r="O8" s="70"/>
      <c r="P8" s="70"/>
      <c r="Q8" s="70"/>
      <c r="R8" s="70"/>
      <c r="S8" s="70"/>
      <c r="T8" s="70"/>
      <c r="U8" s="70"/>
      <c r="V8" s="70"/>
      <c r="W8" s="70"/>
    </row>
    <row r="9" ht="14.25" customHeight="1">
      <c r="A9" s="83" t="s">
        <v>1644</v>
      </c>
      <c r="B9" s="84" t="s">
        <v>1645</v>
      </c>
      <c r="C9" s="84" t="s">
        <v>1646</v>
      </c>
      <c r="D9" s="84" t="s">
        <v>1647</v>
      </c>
      <c r="E9" s="84" t="s">
        <v>1648</v>
      </c>
      <c r="F9" s="84" t="s">
        <v>1649</v>
      </c>
      <c r="G9" s="85"/>
      <c r="H9" s="70"/>
      <c r="I9" s="70"/>
      <c r="J9" s="70"/>
      <c r="K9" s="70"/>
      <c r="L9" s="70"/>
      <c r="M9" s="70"/>
      <c r="N9" s="70"/>
      <c r="O9" s="70"/>
      <c r="P9" s="70"/>
      <c r="Q9" s="70"/>
      <c r="R9" s="70"/>
      <c r="S9" s="70"/>
      <c r="T9" s="70"/>
      <c r="U9" s="70"/>
      <c r="V9" s="70"/>
      <c r="W9" s="70"/>
    </row>
    <row r="10" ht="14.25" customHeight="1">
      <c r="A10" s="74" t="s">
        <v>1650</v>
      </c>
      <c r="B10" s="75" t="s">
        <v>1651</v>
      </c>
      <c r="C10" s="75" t="s">
        <v>1652</v>
      </c>
      <c r="D10" s="75" t="s">
        <v>1653</v>
      </c>
      <c r="E10" s="75" t="s">
        <v>1654</v>
      </c>
      <c r="F10" s="75" t="s">
        <v>1655</v>
      </c>
      <c r="G10" s="76"/>
      <c r="H10" s="70"/>
      <c r="I10" s="70"/>
      <c r="J10" s="70"/>
      <c r="K10" s="70"/>
      <c r="L10" s="70"/>
      <c r="M10" s="70"/>
      <c r="N10" s="70"/>
      <c r="O10" s="70"/>
      <c r="P10" s="70"/>
      <c r="Q10" s="70"/>
      <c r="R10" s="70"/>
      <c r="S10" s="70"/>
      <c r="T10" s="70"/>
      <c r="U10" s="70"/>
      <c r="V10" s="70"/>
      <c r="W10" s="70"/>
    </row>
    <row r="11" ht="14.25" customHeight="1">
      <c r="A11" s="77" t="s">
        <v>1650</v>
      </c>
      <c r="B11" s="2" t="s">
        <v>1656</v>
      </c>
      <c r="C11" s="2" t="s">
        <v>1657</v>
      </c>
      <c r="D11" s="2" t="s">
        <v>1658</v>
      </c>
      <c r="E11" s="2" t="s">
        <v>1659</v>
      </c>
      <c r="F11" s="2" t="s">
        <v>1660</v>
      </c>
      <c r="G11" s="78"/>
      <c r="H11" s="70"/>
      <c r="I11" s="70"/>
      <c r="J11" s="70"/>
      <c r="K11" s="70"/>
      <c r="L11" s="70"/>
      <c r="M11" s="70"/>
      <c r="N11" s="70"/>
      <c r="O11" s="70"/>
      <c r="P11" s="70"/>
      <c r="Q11" s="70"/>
      <c r="R11" s="70"/>
      <c r="S11" s="70"/>
      <c r="T11" s="70"/>
      <c r="U11" s="70"/>
      <c r="V11" s="70"/>
      <c r="W11" s="70"/>
    </row>
    <row r="12" ht="14.25" customHeight="1">
      <c r="A12" s="86" t="s">
        <v>1650</v>
      </c>
      <c r="B12" s="80" t="s">
        <v>1661</v>
      </c>
      <c r="C12" s="80" t="s">
        <v>1662</v>
      </c>
      <c r="D12" s="80" t="s">
        <v>1663</v>
      </c>
      <c r="E12" s="80" t="s">
        <v>1664</v>
      </c>
      <c r="F12" s="80" t="s">
        <v>1665</v>
      </c>
      <c r="G12" s="81"/>
      <c r="H12" s="70"/>
      <c r="I12" s="70"/>
      <c r="J12" s="70"/>
      <c r="K12" s="70"/>
      <c r="L12" s="70"/>
      <c r="M12" s="70"/>
      <c r="N12" s="70"/>
      <c r="O12" s="70"/>
      <c r="P12" s="70"/>
      <c r="Q12" s="70"/>
      <c r="R12" s="70"/>
      <c r="S12" s="70"/>
      <c r="T12" s="70"/>
      <c r="U12" s="70"/>
      <c r="V12" s="70"/>
      <c r="W12" s="70"/>
    </row>
    <row r="13" ht="14.25" customHeight="1">
      <c r="A13" s="82" t="s">
        <v>1666</v>
      </c>
      <c r="B13" s="75" t="s">
        <v>1667</v>
      </c>
      <c r="C13" s="75" t="s">
        <v>1668</v>
      </c>
      <c r="D13" s="75" t="s">
        <v>1669</v>
      </c>
      <c r="E13" s="75" t="s">
        <v>1670</v>
      </c>
      <c r="F13" s="75" t="s">
        <v>1671</v>
      </c>
      <c r="G13" s="76"/>
      <c r="H13" s="70"/>
      <c r="I13" s="70"/>
      <c r="J13" s="70"/>
      <c r="K13" s="70"/>
      <c r="L13" s="70"/>
      <c r="M13" s="70"/>
      <c r="N13" s="70"/>
      <c r="O13" s="70"/>
      <c r="P13" s="70"/>
      <c r="Q13" s="70"/>
      <c r="R13" s="70"/>
      <c r="S13" s="70"/>
      <c r="T13" s="70"/>
      <c r="U13" s="70"/>
      <c r="V13" s="70"/>
      <c r="W13" s="70"/>
    </row>
    <row r="14" ht="14.25" customHeight="1">
      <c r="A14" s="79" t="s">
        <v>1666</v>
      </c>
      <c r="B14" s="80" t="s">
        <v>1672</v>
      </c>
      <c r="C14" s="80" t="s">
        <v>1673</v>
      </c>
      <c r="D14" s="80" t="s">
        <v>1674</v>
      </c>
      <c r="E14" s="80" t="s">
        <v>1675</v>
      </c>
      <c r="F14" s="80" t="s">
        <v>1676</v>
      </c>
      <c r="G14" s="81"/>
      <c r="H14" s="70"/>
      <c r="I14" s="70"/>
      <c r="J14" s="70"/>
      <c r="K14" s="70"/>
      <c r="L14" s="70"/>
      <c r="M14" s="70"/>
      <c r="N14" s="70"/>
      <c r="O14" s="70"/>
      <c r="P14" s="70"/>
      <c r="Q14" s="70"/>
      <c r="R14" s="70"/>
      <c r="S14" s="70"/>
      <c r="T14" s="70"/>
      <c r="U14" s="70"/>
      <c r="V14" s="70"/>
      <c r="W14" s="70"/>
    </row>
    <row r="15" ht="14.25" customHeight="1">
      <c r="A15" s="82" t="s">
        <v>1677</v>
      </c>
      <c r="B15" s="75" t="s">
        <v>1678</v>
      </c>
      <c r="C15" s="75" t="s">
        <v>1679</v>
      </c>
      <c r="D15" s="75" t="s">
        <v>1680</v>
      </c>
      <c r="E15" s="75" t="s">
        <v>1681</v>
      </c>
      <c r="F15" s="75" t="s">
        <v>1682</v>
      </c>
      <c r="G15" s="76"/>
      <c r="H15" s="70"/>
      <c r="I15" s="70"/>
      <c r="J15" s="70"/>
      <c r="K15" s="70"/>
      <c r="L15" s="70"/>
      <c r="M15" s="70"/>
      <c r="N15" s="70"/>
      <c r="O15" s="70"/>
      <c r="P15" s="70"/>
      <c r="Q15" s="70"/>
      <c r="R15" s="70"/>
      <c r="S15" s="70"/>
      <c r="T15" s="70"/>
      <c r="U15" s="70"/>
      <c r="V15" s="70"/>
      <c r="W15" s="70"/>
    </row>
    <row r="16" ht="14.25" customHeight="1">
      <c r="A16" s="87" t="s">
        <v>1677</v>
      </c>
      <c r="B16" s="2" t="s">
        <v>1683</v>
      </c>
      <c r="C16" s="2" t="s">
        <v>1684</v>
      </c>
      <c r="D16" s="2" t="s">
        <v>1685</v>
      </c>
      <c r="E16" s="2" t="s">
        <v>1686</v>
      </c>
      <c r="F16" s="2" t="s">
        <v>1687</v>
      </c>
      <c r="G16" s="78"/>
      <c r="H16" s="70"/>
      <c r="I16" s="70"/>
      <c r="J16" s="70"/>
      <c r="K16" s="70"/>
      <c r="L16" s="70"/>
      <c r="M16" s="70"/>
      <c r="N16" s="70"/>
      <c r="O16" s="70"/>
      <c r="P16" s="70"/>
      <c r="Q16" s="70"/>
      <c r="R16" s="70"/>
      <c r="S16" s="70"/>
      <c r="T16" s="70"/>
      <c r="U16" s="70"/>
      <c r="V16" s="70"/>
      <c r="W16" s="70"/>
    </row>
    <row r="17" ht="14.25" customHeight="1">
      <c r="A17" s="87" t="s">
        <v>1677</v>
      </c>
      <c r="B17" s="2" t="s">
        <v>1688</v>
      </c>
      <c r="C17" s="2" t="s">
        <v>1689</v>
      </c>
      <c r="D17" s="2" t="s">
        <v>1690</v>
      </c>
      <c r="E17" s="2" t="s">
        <v>1691</v>
      </c>
      <c r="F17" s="2" t="s">
        <v>1692</v>
      </c>
      <c r="G17" s="78"/>
      <c r="H17" s="70"/>
      <c r="I17" s="70"/>
      <c r="J17" s="70"/>
      <c r="K17" s="70"/>
      <c r="L17" s="70"/>
      <c r="M17" s="70"/>
      <c r="N17" s="70"/>
      <c r="O17" s="70"/>
      <c r="P17" s="70"/>
      <c r="Q17" s="70"/>
      <c r="R17" s="70"/>
      <c r="S17" s="70"/>
      <c r="T17" s="70"/>
      <c r="U17" s="70"/>
      <c r="V17" s="70"/>
      <c r="W17" s="70"/>
    </row>
    <row r="18" ht="14.25" customHeight="1">
      <c r="A18" s="79" t="s">
        <v>1677</v>
      </c>
      <c r="B18" s="80" t="s">
        <v>1693</v>
      </c>
      <c r="C18" s="80" t="s">
        <v>1694</v>
      </c>
      <c r="D18" s="80" t="s">
        <v>1695</v>
      </c>
      <c r="E18" s="80" t="s">
        <v>1696</v>
      </c>
      <c r="F18" s="80" t="s">
        <v>1697</v>
      </c>
      <c r="G18" s="81"/>
      <c r="H18" s="70"/>
      <c r="I18" s="70"/>
      <c r="J18" s="70"/>
      <c r="K18" s="70"/>
      <c r="L18" s="70"/>
      <c r="M18" s="70"/>
      <c r="N18" s="70"/>
      <c r="O18" s="70"/>
      <c r="P18" s="70"/>
      <c r="Q18" s="70"/>
      <c r="R18" s="70"/>
      <c r="S18" s="70"/>
      <c r="T18" s="70"/>
      <c r="U18" s="70"/>
      <c r="V18" s="70"/>
      <c r="W18" s="70"/>
    </row>
    <row r="19" ht="14.25" customHeight="1">
      <c r="A19" s="82" t="s">
        <v>1698</v>
      </c>
      <c r="B19" s="75" t="s">
        <v>1699</v>
      </c>
      <c r="C19" s="75" t="s">
        <v>1700</v>
      </c>
      <c r="D19" s="75" t="s">
        <v>1701</v>
      </c>
      <c r="E19" s="75" t="s">
        <v>1702</v>
      </c>
      <c r="F19" s="75" t="s">
        <v>1703</v>
      </c>
      <c r="G19" s="76"/>
      <c r="H19" s="70"/>
      <c r="I19" s="70"/>
      <c r="J19" s="70"/>
      <c r="K19" s="70"/>
      <c r="L19" s="70"/>
      <c r="M19" s="70"/>
      <c r="N19" s="70"/>
      <c r="O19" s="70"/>
      <c r="P19" s="70"/>
      <c r="Q19" s="70"/>
      <c r="R19" s="70"/>
      <c r="S19" s="70"/>
      <c r="T19" s="70"/>
      <c r="U19" s="70"/>
      <c r="V19" s="70"/>
      <c r="W19" s="70"/>
    </row>
    <row r="20" ht="14.25" customHeight="1">
      <c r="A20" s="87" t="s">
        <v>1698</v>
      </c>
      <c r="B20" s="2" t="s">
        <v>1704</v>
      </c>
      <c r="C20" s="2" t="s">
        <v>1705</v>
      </c>
      <c r="D20" s="2" t="s">
        <v>1706</v>
      </c>
      <c r="E20" s="2" t="s">
        <v>1707</v>
      </c>
      <c r="F20" s="2" t="s">
        <v>1708</v>
      </c>
      <c r="G20" s="78"/>
      <c r="H20" s="70"/>
      <c r="I20" s="70"/>
      <c r="J20" s="70"/>
      <c r="K20" s="70"/>
      <c r="L20" s="70"/>
      <c r="M20" s="70"/>
      <c r="N20" s="70"/>
      <c r="O20" s="70"/>
      <c r="P20" s="70"/>
      <c r="Q20" s="70"/>
      <c r="R20" s="70"/>
      <c r="S20" s="70"/>
      <c r="T20" s="70"/>
      <c r="U20" s="70"/>
      <c r="V20" s="70"/>
      <c r="W20" s="70"/>
    </row>
    <row r="21" ht="14.25" customHeight="1">
      <c r="A21" s="79" t="s">
        <v>1698</v>
      </c>
      <c r="B21" s="80" t="s">
        <v>1709</v>
      </c>
      <c r="C21" s="80" t="s">
        <v>1710</v>
      </c>
      <c r="D21" s="80" t="s">
        <v>1711</v>
      </c>
      <c r="E21" s="80" t="s">
        <v>1712</v>
      </c>
      <c r="F21" s="80" t="s">
        <v>1713</v>
      </c>
      <c r="G21" s="81"/>
      <c r="H21" s="70"/>
      <c r="I21" s="70"/>
      <c r="J21" s="70"/>
      <c r="K21" s="70"/>
      <c r="L21" s="70"/>
      <c r="M21" s="70"/>
      <c r="N21" s="70"/>
      <c r="O21" s="70"/>
      <c r="P21" s="70"/>
      <c r="Q21" s="70"/>
      <c r="R21" s="70"/>
      <c r="S21" s="70"/>
      <c r="T21" s="70"/>
      <c r="U21" s="70"/>
      <c r="V21" s="70"/>
      <c r="W21" s="70"/>
    </row>
    <row r="22" ht="14.25" customHeight="1">
      <c r="A22" s="83" t="s">
        <v>1714</v>
      </c>
      <c r="B22" s="84" t="s">
        <v>1715</v>
      </c>
      <c r="C22" s="84" t="s">
        <v>1716</v>
      </c>
      <c r="D22" s="84" t="s">
        <v>1717</v>
      </c>
      <c r="E22" s="84" t="s">
        <v>1718</v>
      </c>
      <c r="F22" s="84" t="s">
        <v>1719</v>
      </c>
      <c r="G22" s="85"/>
      <c r="H22" s="70"/>
      <c r="I22" s="70"/>
      <c r="J22" s="70"/>
      <c r="K22" s="70"/>
      <c r="L22" s="70"/>
      <c r="M22" s="70"/>
      <c r="N22" s="70"/>
      <c r="O22" s="70"/>
      <c r="P22" s="70"/>
      <c r="Q22" s="70"/>
      <c r="R22" s="70"/>
      <c r="S22" s="70"/>
      <c r="T22" s="70"/>
      <c r="U22" s="70"/>
      <c r="V22" s="70"/>
      <c r="W22" s="70"/>
    </row>
    <row r="23" ht="14.25" customHeight="1">
      <c r="A23" s="82" t="s">
        <v>1720</v>
      </c>
      <c r="B23" s="75" t="s">
        <v>1721</v>
      </c>
      <c r="C23" s="75" t="s">
        <v>1722</v>
      </c>
      <c r="D23" s="75" t="s">
        <v>1723</v>
      </c>
      <c r="E23" s="75" t="s">
        <v>1724</v>
      </c>
      <c r="F23" s="75" t="s">
        <v>1725</v>
      </c>
      <c r="G23" s="76"/>
      <c r="H23" s="70"/>
      <c r="I23" s="70"/>
      <c r="J23" s="70"/>
      <c r="K23" s="70"/>
      <c r="L23" s="70"/>
      <c r="M23" s="70"/>
      <c r="N23" s="70"/>
      <c r="O23" s="70"/>
      <c r="P23" s="70"/>
      <c r="Q23" s="70"/>
      <c r="R23" s="70"/>
      <c r="S23" s="70"/>
      <c r="T23" s="70"/>
      <c r="U23" s="70"/>
      <c r="V23" s="70"/>
      <c r="W23" s="70"/>
    </row>
    <row r="24" ht="14.25" customHeight="1">
      <c r="A24" s="79" t="s">
        <v>1720</v>
      </c>
      <c r="B24" s="80" t="s">
        <v>1726</v>
      </c>
      <c r="C24" s="80" t="s">
        <v>1727</v>
      </c>
      <c r="D24" s="80" t="s">
        <v>1728</v>
      </c>
      <c r="E24" s="80" t="s">
        <v>1729</v>
      </c>
      <c r="F24" s="80" t="s">
        <v>1730</v>
      </c>
      <c r="G24" s="81"/>
      <c r="H24" s="70"/>
      <c r="I24" s="70"/>
      <c r="J24" s="70"/>
      <c r="K24" s="70"/>
      <c r="L24" s="70"/>
      <c r="M24" s="70"/>
      <c r="N24" s="70"/>
      <c r="O24" s="70"/>
      <c r="P24" s="70"/>
      <c r="Q24" s="70"/>
      <c r="R24" s="70"/>
      <c r="S24" s="70"/>
      <c r="T24" s="70"/>
      <c r="U24" s="70"/>
      <c r="V24" s="70"/>
      <c r="W24" s="70"/>
    </row>
    <row r="25" ht="14.25" customHeight="1">
      <c r="A25" s="83" t="s">
        <v>1731</v>
      </c>
      <c r="B25" s="84" t="s">
        <v>1732</v>
      </c>
      <c r="C25" s="84" t="s">
        <v>1733</v>
      </c>
      <c r="D25" s="84" t="s">
        <v>1734</v>
      </c>
      <c r="E25" s="84" t="s">
        <v>1735</v>
      </c>
      <c r="F25" s="84" t="s">
        <v>1736</v>
      </c>
      <c r="G25" s="85"/>
      <c r="H25" s="70"/>
      <c r="I25" s="70"/>
      <c r="J25" s="70"/>
      <c r="K25" s="70"/>
      <c r="L25" s="70"/>
      <c r="M25" s="70"/>
      <c r="N25" s="70"/>
      <c r="O25" s="70"/>
      <c r="P25" s="70"/>
      <c r="Q25" s="70"/>
      <c r="R25" s="70"/>
      <c r="S25" s="70"/>
      <c r="T25" s="70"/>
      <c r="U25" s="70"/>
      <c r="V25" s="70"/>
      <c r="W25" s="70"/>
    </row>
    <row r="26" ht="14.25" customHeight="1">
      <c r="A26" s="82" t="s">
        <v>1737</v>
      </c>
      <c r="B26" s="75" t="s">
        <v>1738</v>
      </c>
      <c r="C26" s="75" t="s">
        <v>1739</v>
      </c>
      <c r="D26" s="75" t="s">
        <v>1740</v>
      </c>
      <c r="E26" s="75" t="s">
        <v>1741</v>
      </c>
      <c r="F26" s="75" t="s">
        <v>1742</v>
      </c>
      <c r="G26" s="76"/>
      <c r="H26" s="70"/>
      <c r="I26" s="70"/>
      <c r="J26" s="70"/>
      <c r="K26" s="70"/>
      <c r="L26" s="70"/>
      <c r="M26" s="70"/>
      <c r="N26" s="70"/>
      <c r="O26" s="70"/>
      <c r="P26" s="70"/>
      <c r="Q26" s="70"/>
      <c r="R26" s="70"/>
      <c r="S26" s="70"/>
      <c r="T26" s="70"/>
      <c r="U26" s="70"/>
      <c r="V26" s="70"/>
      <c r="W26" s="70"/>
    </row>
    <row r="27" ht="14.25" customHeight="1">
      <c r="A27" s="87" t="s">
        <v>1737</v>
      </c>
      <c r="B27" s="2" t="s">
        <v>1743</v>
      </c>
      <c r="C27" s="2" t="s">
        <v>1744</v>
      </c>
      <c r="D27" s="2" t="s">
        <v>1745</v>
      </c>
      <c r="E27" s="2" t="s">
        <v>1746</v>
      </c>
      <c r="F27" s="2" t="s">
        <v>1747</v>
      </c>
      <c r="G27" s="78"/>
      <c r="H27" s="70"/>
      <c r="I27" s="70"/>
      <c r="J27" s="70"/>
      <c r="K27" s="70"/>
      <c r="L27" s="70"/>
      <c r="M27" s="70"/>
      <c r="N27" s="70"/>
      <c r="O27" s="70"/>
      <c r="P27" s="70"/>
      <c r="Q27" s="70"/>
      <c r="R27" s="70"/>
      <c r="S27" s="70"/>
      <c r="T27" s="70"/>
      <c r="U27" s="70"/>
      <c r="V27" s="70"/>
      <c r="W27" s="70"/>
    </row>
    <row r="28" ht="14.25" customHeight="1">
      <c r="A28" s="79" t="s">
        <v>1737</v>
      </c>
      <c r="B28" s="80" t="s">
        <v>1748</v>
      </c>
      <c r="C28" s="80" t="s">
        <v>1749</v>
      </c>
      <c r="D28" s="80" t="s">
        <v>1750</v>
      </c>
      <c r="E28" s="80" t="s">
        <v>1751</v>
      </c>
      <c r="F28" s="80" t="s">
        <v>1752</v>
      </c>
      <c r="G28" s="81"/>
      <c r="H28" s="70"/>
      <c r="I28" s="70"/>
      <c r="J28" s="70"/>
      <c r="K28" s="70"/>
      <c r="L28" s="70"/>
      <c r="M28" s="70"/>
      <c r="N28" s="70"/>
      <c r="O28" s="70"/>
      <c r="P28" s="70"/>
      <c r="Q28" s="70"/>
      <c r="R28" s="70"/>
      <c r="S28" s="70"/>
      <c r="T28" s="70"/>
      <c r="U28" s="70"/>
      <c r="V28" s="70"/>
      <c r="W28" s="70"/>
    </row>
    <row r="29" ht="14.25" customHeight="1">
      <c r="A29" s="82" t="s">
        <v>1753</v>
      </c>
      <c r="B29" s="75" t="s">
        <v>1754</v>
      </c>
      <c r="C29" s="75" t="s">
        <v>1755</v>
      </c>
      <c r="D29" s="75" t="s">
        <v>1756</v>
      </c>
      <c r="E29" s="75" t="s">
        <v>1757</v>
      </c>
      <c r="F29" s="75" t="s">
        <v>1758</v>
      </c>
      <c r="G29" s="76"/>
      <c r="H29" s="70"/>
      <c r="I29" s="70"/>
      <c r="J29" s="70"/>
      <c r="K29" s="70"/>
      <c r="L29" s="70"/>
      <c r="M29" s="70"/>
      <c r="N29" s="70"/>
      <c r="O29" s="70"/>
      <c r="P29" s="70"/>
      <c r="Q29" s="70"/>
      <c r="R29" s="70"/>
      <c r="S29" s="70"/>
      <c r="T29" s="70"/>
      <c r="U29" s="70"/>
      <c r="V29" s="70"/>
      <c r="W29" s="70"/>
    </row>
    <row r="30" ht="14.25" customHeight="1">
      <c r="A30" s="79" t="s">
        <v>1753</v>
      </c>
      <c r="B30" s="80" t="s">
        <v>1759</v>
      </c>
      <c r="C30" s="80" t="s">
        <v>1760</v>
      </c>
      <c r="D30" s="80" t="s">
        <v>1761</v>
      </c>
      <c r="E30" s="80" t="s">
        <v>1762</v>
      </c>
      <c r="F30" s="80" t="s">
        <v>1763</v>
      </c>
      <c r="G30" s="81"/>
      <c r="H30" s="70"/>
      <c r="I30" s="70"/>
      <c r="J30" s="70"/>
      <c r="K30" s="70"/>
      <c r="L30" s="70"/>
      <c r="M30" s="70"/>
      <c r="N30" s="70"/>
      <c r="O30" s="70"/>
      <c r="P30" s="70"/>
      <c r="Q30" s="70"/>
      <c r="R30" s="70"/>
      <c r="S30" s="70"/>
      <c r="T30" s="70"/>
      <c r="U30" s="70"/>
      <c r="V30" s="70"/>
      <c r="W30" s="70"/>
    </row>
    <row r="31" ht="14.25" customHeight="1">
      <c r="A31" s="82" t="s">
        <v>1764</v>
      </c>
      <c r="B31" s="75" t="s">
        <v>1765</v>
      </c>
      <c r="C31" s="75" t="s">
        <v>1766</v>
      </c>
      <c r="D31" s="75" t="s">
        <v>1767</v>
      </c>
      <c r="E31" s="75" t="s">
        <v>1768</v>
      </c>
      <c r="F31" s="75" t="s">
        <v>1769</v>
      </c>
      <c r="G31" s="76"/>
      <c r="H31" s="70"/>
      <c r="I31" s="70"/>
      <c r="J31" s="70"/>
      <c r="K31" s="70"/>
      <c r="L31" s="70"/>
      <c r="M31" s="70"/>
      <c r="N31" s="70"/>
      <c r="O31" s="70"/>
      <c r="P31" s="70"/>
      <c r="Q31" s="70"/>
      <c r="R31" s="70"/>
      <c r="S31" s="70"/>
      <c r="T31" s="70"/>
      <c r="U31" s="70"/>
      <c r="V31" s="70"/>
      <c r="W31" s="70"/>
    </row>
    <row r="32" ht="14.25" customHeight="1">
      <c r="A32" s="87" t="s">
        <v>1764</v>
      </c>
      <c r="B32" s="2" t="s">
        <v>1770</v>
      </c>
      <c r="C32" s="2" t="s">
        <v>1771</v>
      </c>
      <c r="D32" s="2" t="s">
        <v>1772</v>
      </c>
      <c r="E32" s="2" t="s">
        <v>1773</v>
      </c>
      <c r="F32" s="2" t="s">
        <v>1774</v>
      </c>
      <c r="G32" s="78"/>
      <c r="H32" s="70"/>
      <c r="I32" s="70"/>
      <c r="J32" s="70"/>
      <c r="K32" s="70"/>
      <c r="L32" s="70"/>
      <c r="M32" s="70"/>
      <c r="N32" s="70"/>
      <c r="O32" s="70"/>
      <c r="P32" s="70"/>
      <c r="Q32" s="70"/>
      <c r="R32" s="70"/>
      <c r="S32" s="70"/>
      <c r="T32" s="70"/>
      <c r="U32" s="70"/>
      <c r="V32" s="70"/>
      <c r="W32" s="70"/>
    </row>
    <row r="33" ht="14.25" customHeight="1">
      <c r="A33" s="87" t="s">
        <v>1764</v>
      </c>
      <c r="B33" s="2" t="s">
        <v>1775</v>
      </c>
      <c r="C33" s="2" t="s">
        <v>1776</v>
      </c>
      <c r="D33" s="2" t="s">
        <v>1777</v>
      </c>
      <c r="E33" s="2" t="s">
        <v>1778</v>
      </c>
      <c r="F33" s="2" t="s">
        <v>1779</v>
      </c>
      <c r="G33" s="78"/>
      <c r="H33" s="70"/>
      <c r="I33" s="70"/>
      <c r="J33" s="70"/>
      <c r="K33" s="70"/>
      <c r="L33" s="70"/>
      <c r="M33" s="70"/>
      <c r="N33" s="70"/>
      <c r="O33" s="70"/>
      <c r="P33" s="70"/>
      <c r="Q33" s="70"/>
      <c r="R33" s="70"/>
      <c r="S33" s="70"/>
      <c r="T33" s="70"/>
      <c r="U33" s="70"/>
      <c r="V33" s="70"/>
      <c r="W33" s="70"/>
    </row>
    <row r="34" ht="14.25" customHeight="1">
      <c r="A34" s="79" t="s">
        <v>1764</v>
      </c>
      <c r="B34" s="80" t="s">
        <v>1780</v>
      </c>
      <c r="C34" s="80" t="s">
        <v>1781</v>
      </c>
      <c r="D34" s="80" t="s">
        <v>1782</v>
      </c>
      <c r="E34" s="80" t="s">
        <v>1783</v>
      </c>
      <c r="F34" s="80" t="s">
        <v>1784</v>
      </c>
      <c r="G34" s="81"/>
      <c r="H34" s="70"/>
      <c r="I34" s="70"/>
      <c r="J34" s="70"/>
      <c r="K34" s="70"/>
      <c r="L34" s="70"/>
      <c r="M34" s="70"/>
      <c r="N34" s="70"/>
      <c r="O34" s="70"/>
      <c r="P34" s="70"/>
      <c r="Q34" s="70"/>
      <c r="R34" s="70"/>
      <c r="S34" s="70"/>
      <c r="T34" s="70"/>
      <c r="U34" s="70"/>
      <c r="V34" s="70"/>
      <c r="W34" s="70"/>
    </row>
    <row r="35" ht="14.25" customHeight="1">
      <c r="A35" s="83" t="s">
        <v>1785</v>
      </c>
      <c r="B35" s="84" t="s">
        <v>1786</v>
      </c>
      <c r="C35" s="84" t="s">
        <v>1787</v>
      </c>
      <c r="D35" s="84" t="s">
        <v>1788</v>
      </c>
      <c r="E35" s="84" t="s">
        <v>1789</v>
      </c>
      <c r="F35" s="84" t="s">
        <v>1790</v>
      </c>
      <c r="G35" s="85"/>
      <c r="H35" s="70"/>
      <c r="I35" s="70"/>
      <c r="J35" s="70"/>
      <c r="K35" s="70"/>
      <c r="L35" s="70"/>
      <c r="M35" s="70"/>
      <c r="N35" s="70"/>
      <c r="O35" s="70"/>
      <c r="P35" s="70"/>
      <c r="Q35" s="70"/>
      <c r="R35" s="70"/>
      <c r="S35" s="70"/>
      <c r="T35" s="70"/>
      <c r="U35" s="70"/>
      <c r="V35" s="70"/>
      <c r="W35" s="70"/>
    </row>
    <row r="36" ht="14.25" customHeight="1">
      <c r="A36" s="83" t="s">
        <v>1791</v>
      </c>
      <c r="B36" s="84" t="s">
        <v>1792</v>
      </c>
      <c r="C36" s="84" t="s">
        <v>1793</v>
      </c>
      <c r="D36" s="84" t="s">
        <v>1794</v>
      </c>
      <c r="E36" s="84" t="s">
        <v>1795</v>
      </c>
      <c r="F36" s="84" t="s">
        <v>1796</v>
      </c>
      <c r="G36" s="85"/>
      <c r="H36" s="70"/>
      <c r="I36" s="70"/>
      <c r="J36" s="70"/>
      <c r="K36" s="70"/>
      <c r="L36" s="70"/>
      <c r="M36" s="70"/>
      <c r="N36" s="70"/>
      <c r="O36" s="70"/>
      <c r="P36" s="70"/>
      <c r="Q36" s="70"/>
      <c r="R36" s="70"/>
      <c r="S36" s="70"/>
      <c r="T36" s="70"/>
      <c r="U36" s="70"/>
      <c r="V36" s="70"/>
      <c r="W36" s="70"/>
    </row>
    <row r="37" ht="14.25" customHeight="1">
      <c r="A37" s="82" t="s">
        <v>1797</v>
      </c>
      <c r="B37" s="75" t="s">
        <v>1798</v>
      </c>
      <c r="C37" s="75" t="s">
        <v>1799</v>
      </c>
      <c r="D37" s="75" t="s">
        <v>1800</v>
      </c>
      <c r="E37" s="75" t="s">
        <v>1801</v>
      </c>
      <c r="F37" s="75" t="s">
        <v>1802</v>
      </c>
      <c r="G37" s="76"/>
      <c r="H37" s="70"/>
      <c r="I37" s="70"/>
      <c r="J37" s="70"/>
      <c r="K37" s="70"/>
      <c r="L37" s="70"/>
      <c r="M37" s="70"/>
      <c r="N37" s="70"/>
      <c r="O37" s="70"/>
      <c r="P37" s="70"/>
      <c r="Q37" s="70"/>
      <c r="R37" s="70"/>
      <c r="S37" s="70"/>
      <c r="T37" s="70"/>
      <c r="U37" s="70"/>
      <c r="V37" s="70"/>
      <c r="W37" s="70"/>
    </row>
    <row r="38" ht="14.25" customHeight="1">
      <c r="A38" s="79" t="s">
        <v>1797</v>
      </c>
      <c r="B38" s="80" t="s">
        <v>1803</v>
      </c>
      <c r="C38" s="80" t="s">
        <v>1804</v>
      </c>
      <c r="D38" s="80" t="s">
        <v>1805</v>
      </c>
      <c r="E38" s="80" t="s">
        <v>1806</v>
      </c>
      <c r="F38" s="80" t="s">
        <v>1807</v>
      </c>
      <c r="G38" s="81"/>
      <c r="H38" s="70"/>
      <c r="I38" s="70"/>
      <c r="J38" s="70"/>
      <c r="K38" s="70"/>
      <c r="L38" s="70"/>
      <c r="M38" s="70"/>
      <c r="N38" s="70"/>
      <c r="O38" s="70"/>
      <c r="P38" s="70"/>
      <c r="Q38" s="70"/>
      <c r="R38" s="70"/>
      <c r="S38" s="70"/>
      <c r="T38" s="70"/>
      <c r="U38" s="70"/>
      <c r="V38" s="70"/>
      <c r="W38" s="70"/>
    </row>
    <row r="39" ht="14.25" customHeight="1">
      <c r="A39" s="74" t="s">
        <v>1808</v>
      </c>
      <c r="B39" s="88"/>
      <c r="C39" s="75" t="s">
        <v>1809</v>
      </c>
      <c r="D39" s="75" t="s">
        <v>1810</v>
      </c>
      <c r="E39" s="75" t="s">
        <v>1811</v>
      </c>
      <c r="F39" s="75" t="s">
        <v>1812</v>
      </c>
      <c r="G39" s="76"/>
      <c r="H39" s="70"/>
      <c r="I39" s="70"/>
      <c r="J39" s="70"/>
      <c r="K39" s="70"/>
      <c r="L39" s="70"/>
      <c r="M39" s="70"/>
      <c r="N39" s="70"/>
      <c r="O39" s="70"/>
      <c r="P39" s="70"/>
      <c r="Q39" s="70"/>
      <c r="R39" s="70"/>
      <c r="S39" s="70"/>
      <c r="T39" s="70"/>
      <c r="U39" s="70"/>
      <c r="V39" s="70"/>
      <c r="W39" s="70"/>
    </row>
    <row r="40" ht="14.25" customHeight="1">
      <c r="A40" s="77" t="s">
        <v>1808</v>
      </c>
      <c r="B40" s="2" t="s">
        <v>1813</v>
      </c>
      <c r="C40" s="2" t="s">
        <v>1814</v>
      </c>
      <c r="D40" s="2" t="s">
        <v>1815</v>
      </c>
      <c r="E40" s="2" t="s">
        <v>1816</v>
      </c>
      <c r="F40" s="2" t="s">
        <v>1817</v>
      </c>
      <c r="G40" s="78"/>
      <c r="H40" s="70"/>
      <c r="I40" s="70"/>
      <c r="J40" s="70"/>
      <c r="K40" s="70"/>
      <c r="L40" s="70"/>
      <c r="M40" s="70"/>
      <c r="N40" s="70"/>
      <c r="O40" s="70"/>
      <c r="P40" s="70"/>
      <c r="Q40" s="70"/>
      <c r="R40" s="70"/>
      <c r="S40" s="70"/>
      <c r="T40" s="70"/>
      <c r="U40" s="70"/>
      <c r="V40" s="70"/>
      <c r="W40" s="70"/>
    </row>
    <row r="41" ht="14.25" customHeight="1">
      <c r="A41" s="86" t="s">
        <v>1808</v>
      </c>
      <c r="B41" s="80" t="s">
        <v>1818</v>
      </c>
      <c r="C41" s="80" t="s">
        <v>1819</v>
      </c>
      <c r="D41" s="80" t="s">
        <v>1820</v>
      </c>
      <c r="E41" s="80" t="s">
        <v>1821</v>
      </c>
      <c r="F41" s="80" t="s">
        <v>1822</v>
      </c>
      <c r="G41" s="81"/>
      <c r="H41" s="70"/>
      <c r="I41" s="70"/>
      <c r="J41" s="70"/>
      <c r="K41" s="70"/>
      <c r="L41" s="70"/>
      <c r="M41" s="70"/>
      <c r="N41" s="70"/>
      <c r="O41" s="70"/>
      <c r="P41" s="70"/>
      <c r="Q41" s="70"/>
      <c r="R41" s="70"/>
      <c r="S41" s="70"/>
      <c r="T41" s="70"/>
      <c r="U41" s="70"/>
      <c r="V41" s="70"/>
      <c r="W41" s="70"/>
    </row>
    <row r="42" ht="14.25" customHeight="1">
      <c r="A42" s="70"/>
      <c r="B42" s="70"/>
      <c r="C42" s="70"/>
      <c r="D42" s="70"/>
      <c r="E42" s="5"/>
      <c r="F42" s="70"/>
      <c r="G42" s="70"/>
      <c r="H42" s="70"/>
      <c r="I42" s="70"/>
      <c r="J42" s="70"/>
      <c r="K42" s="70"/>
      <c r="L42" s="70"/>
      <c r="M42" s="70"/>
      <c r="N42" s="70"/>
      <c r="O42" s="70"/>
      <c r="P42" s="70"/>
      <c r="Q42" s="70"/>
      <c r="R42" s="70"/>
      <c r="S42" s="70"/>
      <c r="T42" s="70"/>
      <c r="U42" s="70"/>
      <c r="V42" s="70"/>
      <c r="W42" s="70"/>
    </row>
    <row r="43" ht="14.25" customHeight="1">
      <c r="A43" s="70"/>
      <c r="B43" s="70"/>
      <c r="C43" s="70"/>
      <c r="D43" s="70"/>
      <c r="E43" s="5"/>
      <c r="F43" s="70"/>
      <c r="G43" s="70"/>
      <c r="H43" s="70"/>
      <c r="I43" s="70"/>
      <c r="J43" s="70"/>
      <c r="K43" s="70"/>
      <c r="L43" s="70"/>
      <c r="M43" s="70"/>
      <c r="N43" s="70"/>
      <c r="O43" s="70"/>
      <c r="P43" s="70"/>
      <c r="Q43" s="70"/>
      <c r="R43" s="70"/>
      <c r="S43" s="70"/>
      <c r="T43" s="70"/>
      <c r="U43" s="70"/>
      <c r="V43" s="70"/>
      <c r="W43" s="70"/>
    </row>
    <row r="44" ht="14.25" customHeight="1">
      <c r="A44" s="70"/>
      <c r="B44" s="70"/>
      <c r="C44" s="70"/>
      <c r="D44" s="70"/>
      <c r="E44" s="5"/>
      <c r="F44" s="70"/>
      <c r="G44" s="70"/>
      <c r="H44" s="70"/>
      <c r="I44" s="70"/>
      <c r="J44" s="70"/>
      <c r="K44" s="70"/>
      <c r="L44" s="70"/>
      <c r="M44" s="70"/>
      <c r="N44" s="70"/>
      <c r="O44" s="70"/>
      <c r="P44" s="70"/>
      <c r="Q44" s="70"/>
      <c r="R44" s="70"/>
      <c r="S44" s="70"/>
      <c r="T44" s="70"/>
      <c r="U44" s="70"/>
      <c r="V44" s="70"/>
      <c r="W44" s="70"/>
    </row>
    <row r="45" ht="14.25" customHeight="1">
      <c r="A45" s="70"/>
      <c r="B45" s="70"/>
      <c r="C45" s="70"/>
      <c r="D45" s="70"/>
      <c r="E45" s="5"/>
      <c r="F45" s="70"/>
      <c r="G45" s="70"/>
      <c r="H45" s="70"/>
      <c r="I45" s="70"/>
      <c r="J45" s="70"/>
      <c r="K45" s="70"/>
      <c r="L45" s="70"/>
      <c r="M45" s="70"/>
      <c r="N45" s="70"/>
      <c r="O45" s="70"/>
      <c r="P45" s="70"/>
      <c r="Q45" s="70"/>
      <c r="R45" s="70"/>
      <c r="S45" s="70"/>
      <c r="T45" s="70"/>
      <c r="U45" s="70"/>
      <c r="V45" s="70"/>
      <c r="W45" s="70"/>
    </row>
    <row r="46" ht="14.25" customHeight="1">
      <c r="A46" s="70"/>
      <c r="B46" s="70"/>
      <c r="C46" s="70"/>
      <c r="D46" s="70"/>
      <c r="E46" s="5"/>
      <c r="F46" s="70"/>
      <c r="G46" s="70"/>
      <c r="H46" s="70"/>
      <c r="I46" s="70"/>
      <c r="J46" s="70"/>
      <c r="K46" s="70"/>
      <c r="L46" s="70"/>
      <c r="M46" s="70"/>
      <c r="N46" s="70"/>
      <c r="O46" s="70"/>
      <c r="P46" s="70"/>
      <c r="Q46" s="70"/>
      <c r="R46" s="70"/>
      <c r="S46" s="70"/>
      <c r="T46" s="70"/>
      <c r="U46" s="70"/>
      <c r="V46" s="70"/>
      <c r="W46" s="70"/>
    </row>
    <row r="47" ht="14.25" customHeight="1">
      <c r="A47" s="70"/>
      <c r="B47" s="70"/>
      <c r="C47" s="70"/>
      <c r="D47" s="70"/>
      <c r="E47" s="5"/>
      <c r="F47" s="70"/>
      <c r="G47" s="70"/>
      <c r="H47" s="70"/>
      <c r="I47" s="70"/>
      <c r="J47" s="70"/>
      <c r="K47" s="70"/>
      <c r="L47" s="70"/>
      <c r="M47" s="70"/>
      <c r="N47" s="70"/>
      <c r="O47" s="70"/>
      <c r="P47" s="70"/>
      <c r="Q47" s="70"/>
      <c r="R47" s="70"/>
      <c r="S47" s="70"/>
      <c r="T47" s="70"/>
      <c r="U47" s="70"/>
      <c r="V47" s="70"/>
      <c r="W47" s="70"/>
    </row>
    <row r="48" ht="14.25" customHeight="1">
      <c r="A48" s="70"/>
      <c r="B48" s="70"/>
      <c r="C48" s="70"/>
      <c r="D48" s="70"/>
      <c r="E48" s="5"/>
      <c r="F48" s="70"/>
      <c r="G48" s="70"/>
      <c r="H48" s="70"/>
      <c r="I48" s="70"/>
      <c r="J48" s="70"/>
      <c r="K48" s="70"/>
      <c r="L48" s="70"/>
      <c r="M48" s="70"/>
      <c r="N48" s="70"/>
      <c r="O48" s="70"/>
      <c r="P48" s="70"/>
      <c r="Q48" s="70"/>
      <c r="R48" s="70"/>
      <c r="S48" s="70"/>
      <c r="T48" s="70"/>
      <c r="U48" s="70"/>
      <c r="V48" s="70"/>
      <c r="W48" s="70"/>
    </row>
    <row r="49" ht="14.25" customHeight="1">
      <c r="A49" s="70"/>
      <c r="B49" s="70"/>
      <c r="C49" s="70"/>
      <c r="D49" s="70"/>
      <c r="E49" s="5"/>
      <c r="F49" s="70"/>
      <c r="G49" s="70"/>
      <c r="H49" s="70"/>
      <c r="I49" s="70"/>
      <c r="J49" s="70"/>
      <c r="K49" s="70"/>
      <c r="L49" s="70"/>
      <c r="M49" s="70"/>
      <c r="N49" s="70"/>
      <c r="O49" s="70"/>
      <c r="P49" s="70"/>
      <c r="Q49" s="70"/>
      <c r="R49" s="70"/>
      <c r="S49" s="70"/>
      <c r="T49" s="70"/>
      <c r="U49" s="70"/>
      <c r="V49" s="70"/>
      <c r="W49" s="70"/>
    </row>
    <row r="50" ht="14.25" customHeight="1">
      <c r="A50" s="70"/>
      <c r="B50" s="70"/>
      <c r="C50" s="70"/>
      <c r="D50" s="70"/>
      <c r="E50" s="5"/>
      <c r="F50" s="70"/>
      <c r="G50" s="70"/>
      <c r="H50" s="70"/>
      <c r="I50" s="70"/>
      <c r="J50" s="70"/>
      <c r="K50" s="70"/>
      <c r="L50" s="70"/>
      <c r="M50" s="70"/>
      <c r="N50" s="70"/>
      <c r="O50" s="70"/>
      <c r="P50" s="70"/>
      <c r="Q50" s="70"/>
      <c r="R50" s="70"/>
      <c r="S50" s="70"/>
      <c r="T50" s="70"/>
      <c r="U50" s="70"/>
      <c r="V50" s="70"/>
      <c r="W50" s="70"/>
    </row>
    <row r="51" ht="14.25" customHeight="1">
      <c r="A51" s="70"/>
      <c r="B51" s="70"/>
      <c r="C51" s="70"/>
      <c r="D51" s="70"/>
      <c r="E51" s="5"/>
      <c r="F51" s="70"/>
      <c r="G51" s="70"/>
      <c r="H51" s="70"/>
      <c r="I51" s="70"/>
      <c r="J51" s="70"/>
      <c r="K51" s="70"/>
      <c r="L51" s="70"/>
      <c r="M51" s="70"/>
      <c r="N51" s="70"/>
      <c r="O51" s="70"/>
      <c r="P51" s="70"/>
      <c r="Q51" s="70"/>
      <c r="R51" s="70"/>
      <c r="S51" s="70"/>
      <c r="T51" s="70"/>
      <c r="U51" s="70"/>
      <c r="V51" s="70"/>
      <c r="W51" s="70"/>
    </row>
    <row r="52" ht="14.25" customHeight="1">
      <c r="A52" s="70"/>
      <c r="B52" s="70"/>
      <c r="C52" s="70"/>
      <c r="D52" s="70"/>
      <c r="E52" s="5"/>
      <c r="F52" s="70"/>
      <c r="G52" s="70"/>
      <c r="H52" s="70"/>
      <c r="I52" s="70"/>
      <c r="J52" s="70"/>
      <c r="K52" s="70"/>
      <c r="L52" s="70"/>
      <c r="M52" s="70"/>
      <c r="N52" s="70"/>
      <c r="O52" s="70"/>
      <c r="P52" s="70"/>
      <c r="Q52" s="70"/>
      <c r="R52" s="70"/>
      <c r="S52" s="70"/>
      <c r="T52" s="70"/>
      <c r="U52" s="70"/>
      <c r="V52" s="70"/>
      <c r="W52" s="70"/>
    </row>
    <row r="53" ht="14.25" customHeight="1">
      <c r="A53" s="70"/>
      <c r="B53" s="70"/>
      <c r="C53" s="70"/>
      <c r="D53" s="70"/>
      <c r="E53" s="5"/>
      <c r="F53" s="70"/>
      <c r="G53" s="70"/>
      <c r="H53" s="70"/>
      <c r="I53" s="70"/>
      <c r="J53" s="70"/>
      <c r="K53" s="70"/>
      <c r="L53" s="70"/>
      <c r="M53" s="70"/>
      <c r="N53" s="70"/>
      <c r="O53" s="70"/>
      <c r="P53" s="70"/>
      <c r="Q53" s="70"/>
      <c r="R53" s="70"/>
      <c r="S53" s="70"/>
      <c r="T53" s="70"/>
      <c r="U53" s="70"/>
      <c r="V53" s="70"/>
      <c r="W53" s="70"/>
    </row>
    <row r="54" ht="14.25" customHeight="1">
      <c r="A54" s="70"/>
      <c r="B54" s="70"/>
      <c r="C54" s="70"/>
      <c r="D54" s="70"/>
      <c r="E54" s="5"/>
      <c r="F54" s="70"/>
      <c r="G54" s="70"/>
      <c r="H54" s="70"/>
      <c r="I54" s="70"/>
      <c r="J54" s="70"/>
      <c r="K54" s="70"/>
      <c r="L54" s="70"/>
      <c r="M54" s="70"/>
      <c r="N54" s="70"/>
      <c r="O54" s="70"/>
      <c r="P54" s="70"/>
      <c r="Q54" s="70"/>
      <c r="R54" s="70"/>
      <c r="S54" s="70"/>
      <c r="T54" s="70"/>
      <c r="U54" s="70"/>
      <c r="V54" s="70"/>
      <c r="W54" s="70"/>
    </row>
    <row r="55" ht="14.25" customHeight="1">
      <c r="A55" s="70"/>
      <c r="B55" s="70"/>
      <c r="C55" s="70"/>
      <c r="D55" s="70"/>
      <c r="E55" s="5"/>
      <c r="F55" s="70"/>
      <c r="G55" s="70"/>
      <c r="H55" s="70"/>
      <c r="I55" s="70"/>
      <c r="J55" s="70"/>
      <c r="K55" s="70"/>
      <c r="L55" s="70"/>
      <c r="M55" s="70"/>
      <c r="N55" s="70"/>
      <c r="O55" s="70"/>
      <c r="P55" s="70"/>
      <c r="Q55" s="70"/>
      <c r="R55" s="70"/>
      <c r="S55" s="70"/>
      <c r="T55" s="70"/>
      <c r="U55" s="70"/>
      <c r="V55" s="70"/>
      <c r="W55" s="70"/>
    </row>
    <row r="56" ht="14.25" customHeight="1">
      <c r="A56" s="70"/>
      <c r="B56" s="70"/>
      <c r="C56" s="70"/>
      <c r="D56" s="70"/>
      <c r="E56" s="5"/>
      <c r="F56" s="70"/>
      <c r="G56" s="70"/>
      <c r="H56" s="70"/>
      <c r="I56" s="70"/>
      <c r="J56" s="70"/>
      <c r="K56" s="70"/>
      <c r="L56" s="70"/>
      <c r="M56" s="70"/>
      <c r="N56" s="70"/>
      <c r="O56" s="70"/>
      <c r="P56" s="70"/>
      <c r="Q56" s="70"/>
      <c r="R56" s="70"/>
      <c r="S56" s="70"/>
      <c r="T56" s="70"/>
      <c r="U56" s="70"/>
      <c r="V56" s="70"/>
      <c r="W56" s="70"/>
    </row>
    <row r="57" ht="14.25" customHeight="1">
      <c r="A57" s="70"/>
      <c r="B57" s="70"/>
      <c r="C57" s="70"/>
      <c r="D57" s="70"/>
      <c r="E57" s="5"/>
      <c r="F57" s="70"/>
      <c r="G57" s="70"/>
      <c r="H57" s="70"/>
      <c r="I57" s="70"/>
      <c r="J57" s="70"/>
      <c r="K57" s="70"/>
      <c r="L57" s="70"/>
      <c r="M57" s="70"/>
      <c r="N57" s="70"/>
      <c r="O57" s="70"/>
      <c r="P57" s="70"/>
      <c r="Q57" s="70"/>
      <c r="R57" s="70"/>
      <c r="S57" s="70"/>
      <c r="T57" s="70"/>
      <c r="U57" s="70"/>
      <c r="V57" s="70"/>
      <c r="W57" s="70"/>
    </row>
    <row r="58" ht="14.25" customHeight="1">
      <c r="A58" s="70"/>
      <c r="B58" s="70"/>
      <c r="C58" s="70"/>
      <c r="D58" s="70"/>
      <c r="E58" s="5"/>
      <c r="F58" s="70"/>
      <c r="G58" s="70"/>
      <c r="H58" s="70"/>
      <c r="I58" s="70"/>
      <c r="J58" s="70"/>
      <c r="K58" s="70"/>
      <c r="L58" s="70"/>
      <c r="M58" s="70"/>
      <c r="N58" s="70"/>
      <c r="O58" s="70"/>
      <c r="P58" s="70"/>
      <c r="Q58" s="70"/>
      <c r="R58" s="70"/>
      <c r="S58" s="70"/>
      <c r="T58" s="70"/>
      <c r="U58" s="70"/>
      <c r="V58" s="70"/>
      <c r="W58" s="70"/>
    </row>
    <row r="59" ht="14.25" customHeight="1">
      <c r="A59" s="70"/>
      <c r="B59" s="70"/>
      <c r="C59" s="70"/>
      <c r="D59" s="70"/>
      <c r="E59" s="5"/>
      <c r="F59" s="70"/>
      <c r="G59" s="70"/>
      <c r="H59" s="70"/>
      <c r="I59" s="70"/>
      <c r="J59" s="70"/>
      <c r="K59" s="70"/>
      <c r="L59" s="70"/>
      <c r="M59" s="70"/>
      <c r="N59" s="70"/>
      <c r="O59" s="70"/>
      <c r="P59" s="70"/>
      <c r="Q59" s="70"/>
      <c r="R59" s="70"/>
      <c r="S59" s="70"/>
      <c r="T59" s="70"/>
      <c r="U59" s="70"/>
      <c r="V59" s="70"/>
      <c r="W59" s="70"/>
    </row>
    <row r="60" ht="14.25" customHeight="1">
      <c r="A60" s="70"/>
      <c r="B60" s="70"/>
      <c r="C60" s="70"/>
      <c r="D60" s="70"/>
      <c r="E60" s="5"/>
      <c r="F60" s="70"/>
      <c r="G60" s="70"/>
      <c r="H60" s="70"/>
      <c r="I60" s="70"/>
      <c r="J60" s="70"/>
      <c r="K60" s="70"/>
      <c r="L60" s="70"/>
      <c r="M60" s="70"/>
      <c r="N60" s="70"/>
      <c r="O60" s="70"/>
      <c r="P60" s="70"/>
      <c r="Q60" s="70"/>
      <c r="R60" s="70"/>
      <c r="S60" s="70"/>
      <c r="T60" s="70"/>
      <c r="U60" s="70"/>
      <c r="V60" s="70"/>
      <c r="W60" s="70"/>
    </row>
    <row r="61" ht="14.25" customHeight="1">
      <c r="A61" s="70"/>
      <c r="B61" s="70"/>
      <c r="C61" s="70"/>
      <c r="D61" s="70"/>
      <c r="E61" s="5"/>
      <c r="F61" s="70"/>
      <c r="G61" s="70"/>
      <c r="H61" s="70"/>
      <c r="I61" s="70"/>
      <c r="J61" s="70"/>
      <c r="K61" s="70"/>
      <c r="L61" s="70"/>
      <c r="M61" s="70"/>
      <c r="N61" s="70"/>
      <c r="O61" s="70"/>
      <c r="P61" s="70"/>
      <c r="Q61" s="70"/>
      <c r="R61" s="70"/>
      <c r="S61" s="70"/>
      <c r="T61" s="70"/>
      <c r="U61" s="70"/>
      <c r="V61" s="70"/>
      <c r="W61" s="70"/>
    </row>
    <row r="62" ht="14.25" customHeight="1">
      <c r="A62" s="70"/>
      <c r="B62" s="70"/>
      <c r="C62" s="70"/>
      <c r="D62" s="70"/>
      <c r="E62" s="5"/>
      <c r="F62" s="70"/>
      <c r="G62" s="70"/>
      <c r="H62" s="70"/>
      <c r="I62" s="70"/>
      <c r="J62" s="70"/>
      <c r="K62" s="70"/>
      <c r="L62" s="70"/>
      <c r="M62" s="70"/>
      <c r="N62" s="70"/>
      <c r="O62" s="70"/>
      <c r="P62" s="70"/>
      <c r="Q62" s="70"/>
      <c r="R62" s="70"/>
      <c r="S62" s="70"/>
      <c r="T62" s="70"/>
      <c r="U62" s="70"/>
      <c r="V62" s="70"/>
      <c r="W62" s="70"/>
    </row>
    <row r="63" ht="14.25" customHeight="1">
      <c r="A63" s="70"/>
      <c r="B63" s="70"/>
      <c r="C63" s="70"/>
      <c r="D63" s="70"/>
      <c r="E63" s="5"/>
      <c r="F63" s="70"/>
      <c r="G63" s="70"/>
      <c r="H63" s="70"/>
      <c r="I63" s="70"/>
      <c r="J63" s="70"/>
      <c r="K63" s="70"/>
      <c r="L63" s="70"/>
      <c r="M63" s="70"/>
      <c r="N63" s="70"/>
      <c r="O63" s="70"/>
      <c r="P63" s="70"/>
      <c r="Q63" s="70"/>
      <c r="R63" s="70"/>
      <c r="S63" s="70"/>
      <c r="T63" s="70"/>
      <c r="U63" s="70"/>
      <c r="V63" s="70"/>
      <c r="W63" s="70"/>
    </row>
    <row r="64" ht="14.25" customHeight="1">
      <c r="A64" s="70"/>
      <c r="B64" s="70"/>
      <c r="C64" s="70"/>
      <c r="D64" s="70"/>
      <c r="E64" s="5"/>
      <c r="F64" s="70"/>
      <c r="G64" s="70"/>
      <c r="H64" s="70"/>
      <c r="I64" s="70"/>
      <c r="J64" s="70"/>
      <c r="K64" s="70"/>
      <c r="L64" s="70"/>
      <c r="M64" s="70"/>
      <c r="N64" s="70"/>
      <c r="O64" s="70"/>
      <c r="P64" s="70"/>
      <c r="Q64" s="70"/>
      <c r="R64" s="70"/>
      <c r="S64" s="70"/>
      <c r="T64" s="70"/>
      <c r="U64" s="70"/>
      <c r="V64" s="70"/>
      <c r="W64" s="70"/>
    </row>
    <row r="65" ht="14.25" customHeight="1">
      <c r="A65" s="70"/>
      <c r="B65" s="70"/>
      <c r="C65" s="70"/>
      <c r="D65" s="70"/>
      <c r="E65" s="5"/>
      <c r="F65" s="70"/>
      <c r="G65" s="70"/>
      <c r="H65" s="70"/>
      <c r="I65" s="70"/>
      <c r="J65" s="70"/>
      <c r="K65" s="70"/>
      <c r="L65" s="70"/>
      <c r="M65" s="70"/>
      <c r="N65" s="70"/>
      <c r="O65" s="70"/>
      <c r="P65" s="70"/>
      <c r="Q65" s="70"/>
      <c r="R65" s="70"/>
      <c r="S65" s="70"/>
      <c r="T65" s="70"/>
      <c r="U65" s="70"/>
      <c r="V65" s="70"/>
      <c r="W65" s="70"/>
    </row>
    <row r="66" ht="14.25" customHeight="1">
      <c r="A66" s="70"/>
      <c r="B66" s="70"/>
      <c r="C66" s="70"/>
      <c r="D66" s="70"/>
      <c r="E66" s="5"/>
      <c r="F66" s="70"/>
      <c r="G66" s="70"/>
      <c r="H66" s="70"/>
      <c r="I66" s="70"/>
      <c r="J66" s="70"/>
      <c r="K66" s="70"/>
      <c r="L66" s="70"/>
      <c r="M66" s="70"/>
      <c r="N66" s="70"/>
      <c r="O66" s="70"/>
      <c r="P66" s="70"/>
      <c r="Q66" s="70"/>
      <c r="R66" s="70"/>
      <c r="S66" s="70"/>
      <c r="T66" s="70"/>
      <c r="U66" s="70"/>
      <c r="V66" s="70"/>
      <c r="W66" s="70"/>
    </row>
    <row r="67" ht="14.25" customHeight="1">
      <c r="A67" s="70"/>
      <c r="B67" s="70"/>
      <c r="C67" s="70"/>
      <c r="D67" s="70"/>
      <c r="E67" s="5"/>
      <c r="F67" s="70"/>
      <c r="G67" s="70"/>
      <c r="H67" s="70"/>
      <c r="I67" s="70"/>
      <c r="J67" s="70"/>
      <c r="K67" s="70"/>
      <c r="L67" s="70"/>
      <c r="M67" s="70"/>
      <c r="N67" s="70"/>
      <c r="O67" s="70"/>
      <c r="P67" s="70"/>
      <c r="Q67" s="70"/>
      <c r="R67" s="70"/>
      <c r="S67" s="70"/>
      <c r="T67" s="70"/>
      <c r="U67" s="70"/>
      <c r="V67" s="70"/>
      <c r="W67" s="70"/>
    </row>
    <row r="68" ht="14.25" customHeight="1">
      <c r="A68" s="70"/>
      <c r="B68" s="70"/>
      <c r="C68" s="70"/>
      <c r="D68" s="70"/>
      <c r="E68" s="5"/>
      <c r="F68" s="70"/>
      <c r="G68" s="70"/>
      <c r="H68" s="70"/>
      <c r="I68" s="70"/>
      <c r="J68" s="70"/>
      <c r="K68" s="70"/>
      <c r="L68" s="70"/>
      <c r="M68" s="70"/>
      <c r="N68" s="70"/>
      <c r="O68" s="70"/>
      <c r="P68" s="70"/>
      <c r="Q68" s="70"/>
      <c r="R68" s="70"/>
      <c r="S68" s="70"/>
      <c r="T68" s="70"/>
      <c r="U68" s="70"/>
      <c r="V68" s="70"/>
      <c r="W68" s="70"/>
    </row>
    <row r="69" ht="14.25" customHeight="1">
      <c r="A69" s="70"/>
      <c r="B69" s="70"/>
      <c r="C69" s="70"/>
      <c r="D69" s="70"/>
      <c r="E69" s="5"/>
      <c r="F69" s="70"/>
      <c r="G69" s="70"/>
      <c r="H69" s="70"/>
      <c r="I69" s="70"/>
      <c r="J69" s="70"/>
      <c r="K69" s="70"/>
      <c r="L69" s="70"/>
      <c r="M69" s="70"/>
      <c r="N69" s="70"/>
      <c r="O69" s="70"/>
      <c r="P69" s="70"/>
      <c r="Q69" s="70"/>
      <c r="R69" s="70"/>
      <c r="S69" s="70"/>
      <c r="T69" s="70"/>
      <c r="U69" s="70"/>
      <c r="V69" s="70"/>
      <c r="W69" s="70"/>
    </row>
    <row r="70" ht="14.25" customHeight="1">
      <c r="A70" s="70"/>
      <c r="B70" s="70"/>
      <c r="C70" s="70"/>
      <c r="D70" s="70"/>
      <c r="E70" s="5"/>
      <c r="F70" s="70"/>
      <c r="G70" s="70"/>
      <c r="H70" s="70"/>
      <c r="I70" s="70"/>
      <c r="J70" s="70"/>
      <c r="K70" s="70"/>
      <c r="L70" s="70"/>
      <c r="M70" s="70"/>
      <c r="N70" s="70"/>
      <c r="O70" s="70"/>
      <c r="P70" s="70"/>
      <c r="Q70" s="70"/>
      <c r="R70" s="70"/>
      <c r="S70" s="70"/>
      <c r="T70" s="70"/>
      <c r="U70" s="70"/>
      <c r="V70" s="70"/>
      <c r="W70" s="70"/>
    </row>
    <row r="71" ht="14.25" customHeight="1">
      <c r="A71" s="70"/>
      <c r="B71" s="70"/>
      <c r="C71" s="70"/>
      <c r="D71" s="70"/>
      <c r="E71" s="5"/>
      <c r="F71" s="70"/>
      <c r="G71" s="70"/>
      <c r="H71" s="70"/>
      <c r="I71" s="70"/>
      <c r="J71" s="70"/>
      <c r="K71" s="70"/>
      <c r="L71" s="70"/>
      <c r="M71" s="70"/>
      <c r="N71" s="70"/>
      <c r="O71" s="70"/>
      <c r="P71" s="70"/>
      <c r="Q71" s="70"/>
      <c r="R71" s="70"/>
      <c r="S71" s="70"/>
      <c r="T71" s="70"/>
      <c r="U71" s="70"/>
      <c r="V71" s="70"/>
      <c r="W71" s="70"/>
    </row>
    <row r="72" ht="14.25" customHeight="1">
      <c r="A72" s="70"/>
      <c r="B72" s="70"/>
      <c r="C72" s="70"/>
      <c r="D72" s="70"/>
      <c r="E72" s="5"/>
      <c r="F72" s="70"/>
      <c r="G72" s="70"/>
      <c r="H72" s="70"/>
      <c r="I72" s="70"/>
      <c r="J72" s="70"/>
      <c r="K72" s="70"/>
      <c r="L72" s="70"/>
      <c r="M72" s="70"/>
      <c r="N72" s="70"/>
      <c r="O72" s="70"/>
      <c r="P72" s="70"/>
      <c r="Q72" s="70"/>
      <c r="R72" s="70"/>
      <c r="S72" s="70"/>
      <c r="T72" s="70"/>
      <c r="U72" s="70"/>
      <c r="V72" s="70"/>
      <c r="W72" s="70"/>
    </row>
    <row r="73" ht="14.25" customHeight="1">
      <c r="A73" s="70"/>
      <c r="B73" s="70"/>
      <c r="C73" s="70"/>
      <c r="D73" s="70"/>
      <c r="E73" s="5"/>
      <c r="F73" s="70"/>
      <c r="G73" s="70"/>
      <c r="H73" s="70"/>
      <c r="I73" s="70"/>
      <c r="J73" s="70"/>
      <c r="K73" s="70"/>
      <c r="L73" s="70"/>
      <c r="M73" s="70"/>
      <c r="N73" s="70"/>
      <c r="O73" s="70"/>
      <c r="P73" s="70"/>
      <c r="Q73" s="70"/>
      <c r="R73" s="70"/>
      <c r="S73" s="70"/>
      <c r="T73" s="70"/>
      <c r="U73" s="70"/>
      <c r="V73" s="70"/>
      <c r="W73" s="70"/>
    </row>
    <row r="74" ht="14.25" customHeight="1">
      <c r="A74" s="70"/>
      <c r="B74" s="70"/>
      <c r="C74" s="70"/>
      <c r="D74" s="70"/>
      <c r="E74" s="5"/>
      <c r="F74" s="70"/>
      <c r="G74" s="70"/>
      <c r="H74" s="70"/>
      <c r="I74" s="70"/>
      <c r="J74" s="70"/>
      <c r="K74" s="70"/>
      <c r="L74" s="70"/>
      <c r="M74" s="70"/>
      <c r="N74" s="70"/>
      <c r="O74" s="70"/>
      <c r="P74" s="70"/>
      <c r="Q74" s="70"/>
      <c r="R74" s="70"/>
      <c r="S74" s="70"/>
      <c r="T74" s="70"/>
      <c r="U74" s="70"/>
      <c r="V74" s="70"/>
      <c r="W74" s="70"/>
    </row>
    <row r="75" ht="14.25" customHeight="1">
      <c r="A75" s="70"/>
      <c r="B75" s="70"/>
      <c r="C75" s="70"/>
      <c r="D75" s="70"/>
      <c r="E75" s="5"/>
      <c r="F75" s="70"/>
      <c r="G75" s="70"/>
      <c r="H75" s="70"/>
      <c r="I75" s="70"/>
      <c r="J75" s="70"/>
      <c r="K75" s="70"/>
      <c r="L75" s="70"/>
      <c r="M75" s="70"/>
      <c r="N75" s="70"/>
      <c r="O75" s="70"/>
      <c r="P75" s="70"/>
      <c r="Q75" s="70"/>
      <c r="R75" s="70"/>
      <c r="S75" s="70"/>
      <c r="T75" s="70"/>
      <c r="U75" s="70"/>
      <c r="V75" s="70"/>
      <c r="W75" s="70"/>
    </row>
    <row r="76" ht="14.25" customHeight="1">
      <c r="A76" s="70"/>
      <c r="B76" s="70"/>
      <c r="C76" s="70"/>
      <c r="D76" s="70"/>
      <c r="E76" s="5"/>
      <c r="F76" s="70"/>
      <c r="G76" s="70"/>
      <c r="H76" s="70"/>
      <c r="I76" s="70"/>
      <c r="J76" s="70"/>
      <c r="K76" s="70"/>
      <c r="L76" s="70"/>
      <c r="M76" s="70"/>
      <c r="N76" s="70"/>
      <c r="O76" s="70"/>
      <c r="P76" s="70"/>
      <c r="Q76" s="70"/>
      <c r="R76" s="70"/>
      <c r="S76" s="70"/>
      <c r="T76" s="70"/>
      <c r="U76" s="70"/>
      <c r="V76" s="70"/>
      <c r="W76" s="70"/>
    </row>
    <row r="77" ht="14.25" customHeight="1">
      <c r="A77" s="70"/>
      <c r="B77" s="70"/>
      <c r="C77" s="70"/>
      <c r="D77" s="70"/>
      <c r="E77" s="5"/>
      <c r="F77" s="70"/>
      <c r="G77" s="70"/>
      <c r="H77" s="70"/>
      <c r="I77" s="70"/>
      <c r="J77" s="70"/>
      <c r="K77" s="70"/>
      <c r="L77" s="70"/>
      <c r="M77" s="70"/>
      <c r="N77" s="70"/>
      <c r="O77" s="70"/>
      <c r="P77" s="70"/>
      <c r="Q77" s="70"/>
      <c r="R77" s="70"/>
      <c r="S77" s="70"/>
      <c r="T77" s="70"/>
      <c r="U77" s="70"/>
      <c r="V77" s="70"/>
      <c r="W77" s="70"/>
    </row>
    <row r="78" ht="14.25" customHeight="1">
      <c r="A78" s="70"/>
      <c r="B78" s="70"/>
      <c r="C78" s="70"/>
      <c r="D78" s="70"/>
      <c r="E78" s="5"/>
      <c r="F78" s="70"/>
      <c r="G78" s="70"/>
      <c r="H78" s="70"/>
      <c r="I78" s="70"/>
      <c r="J78" s="70"/>
      <c r="K78" s="70"/>
      <c r="L78" s="70"/>
      <c r="M78" s="70"/>
      <c r="N78" s="70"/>
      <c r="O78" s="70"/>
      <c r="P78" s="70"/>
      <c r="Q78" s="70"/>
      <c r="R78" s="70"/>
      <c r="S78" s="70"/>
      <c r="T78" s="70"/>
      <c r="U78" s="70"/>
      <c r="V78" s="70"/>
      <c r="W78" s="70"/>
    </row>
    <row r="79" ht="14.25" customHeight="1">
      <c r="A79" s="70"/>
      <c r="B79" s="70"/>
      <c r="C79" s="70"/>
      <c r="D79" s="70"/>
      <c r="E79" s="5"/>
      <c r="F79" s="70"/>
      <c r="G79" s="70"/>
      <c r="H79" s="70"/>
      <c r="I79" s="70"/>
      <c r="J79" s="70"/>
      <c r="K79" s="70"/>
      <c r="L79" s="70"/>
      <c r="M79" s="70"/>
      <c r="N79" s="70"/>
      <c r="O79" s="70"/>
      <c r="P79" s="70"/>
      <c r="Q79" s="70"/>
      <c r="R79" s="70"/>
      <c r="S79" s="70"/>
      <c r="T79" s="70"/>
      <c r="U79" s="70"/>
      <c r="V79" s="70"/>
      <c r="W79" s="70"/>
    </row>
    <row r="80" ht="14.25" customHeight="1">
      <c r="A80" s="70"/>
      <c r="B80" s="70"/>
      <c r="C80" s="70"/>
      <c r="D80" s="70"/>
      <c r="E80" s="5"/>
      <c r="F80" s="70"/>
      <c r="G80" s="70"/>
      <c r="H80" s="70"/>
      <c r="I80" s="70"/>
      <c r="J80" s="70"/>
      <c r="K80" s="70"/>
      <c r="L80" s="70"/>
      <c r="M80" s="70"/>
      <c r="N80" s="70"/>
      <c r="O80" s="70"/>
      <c r="P80" s="70"/>
      <c r="Q80" s="70"/>
      <c r="R80" s="70"/>
      <c r="S80" s="70"/>
      <c r="T80" s="70"/>
      <c r="U80" s="70"/>
      <c r="V80" s="70"/>
      <c r="W80" s="70"/>
    </row>
    <row r="81" ht="14.25" customHeight="1">
      <c r="A81" s="70"/>
      <c r="B81" s="70"/>
      <c r="C81" s="70"/>
      <c r="D81" s="70"/>
      <c r="E81" s="5"/>
      <c r="F81" s="70"/>
      <c r="G81" s="70"/>
      <c r="H81" s="70"/>
      <c r="I81" s="70"/>
      <c r="J81" s="70"/>
      <c r="K81" s="70"/>
      <c r="L81" s="70"/>
      <c r="M81" s="70"/>
      <c r="N81" s="70"/>
      <c r="O81" s="70"/>
      <c r="P81" s="70"/>
      <c r="Q81" s="70"/>
      <c r="R81" s="70"/>
      <c r="S81" s="70"/>
      <c r="T81" s="70"/>
      <c r="U81" s="70"/>
      <c r="V81" s="70"/>
      <c r="W81" s="70"/>
    </row>
    <row r="82" ht="14.25" customHeight="1">
      <c r="A82" s="70"/>
      <c r="B82" s="70"/>
      <c r="C82" s="70"/>
      <c r="D82" s="70"/>
      <c r="E82" s="5"/>
      <c r="F82" s="70"/>
      <c r="G82" s="70"/>
      <c r="H82" s="70"/>
      <c r="I82" s="70"/>
      <c r="J82" s="70"/>
      <c r="K82" s="70"/>
      <c r="L82" s="70"/>
      <c r="M82" s="70"/>
      <c r="N82" s="70"/>
      <c r="O82" s="70"/>
      <c r="P82" s="70"/>
      <c r="Q82" s="70"/>
      <c r="R82" s="70"/>
      <c r="S82" s="70"/>
      <c r="T82" s="70"/>
      <c r="U82" s="70"/>
      <c r="V82" s="70"/>
      <c r="W82" s="70"/>
    </row>
    <row r="83" ht="14.25" customHeight="1">
      <c r="A83" s="70"/>
      <c r="B83" s="70"/>
      <c r="C83" s="70"/>
      <c r="D83" s="70"/>
      <c r="E83" s="5"/>
      <c r="F83" s="70"/>
      <c r="G83" s="70"/>
      <c r="H83" s="70"/>
      <c r="I83" s="70"/>
      <c r="J83" s="70"/>
      <c r="K83" s="70"/>
      <c r="L83" s="70"/>
      <c r="M83" s="70"/>
      <c r="N83" s="70"/>
      <c r="O83" s="70"/>
      <c r="P83" s="70"/>
      <c r="Q83" s="70"/>
      <c r="R83" s="70"/>
      <c r="S83" s="70"/>
      <c r="T83" s="70"/>
      <c r="U83" s="70"/>
      <c r="V83" s="70"/>
      <c r="W83" s="70"/>
    </row>
    <row r="84" ht="14.25" customHeight="1">
      <c r="A84" s="70"/>
      <c r="B84" s="70"/>
      <c r="C84" s="70"/>
      <c r="D84" s="70"/>
      <c r="E84" s="5"/>
      <c r="F84" s="70"/>
      <c r="G84" s="70"/>
      <c r="H84" s="70"/>
      <c r="I84" s="70"/>
      <c r="J84" s="70"/>
      <c r="K84" s="70"/>
      <c r="L84" s="70"/>
      <c r="M84" s="70"/>
      <c r="N84" s="70"/>
      <c r="O84" s="70"/>
      <c r="P84" s="70"/>
      <c r="Q84" s="70"/>
      <c r="R84" s="70"/>
      <c r="S84" s="70"/>
      <c r="T84" s="70"/>
      <c r="U84" s="70"/>
      <c r="V84" s="70"/>
      <c r="W84" s="70"/>
    </row>
    <row r="85" ht="14.25" customHeight="1">
      <c r="A85" s="70"/>
      <c r="B85" s="70"/>
      <c r="C85" s="70"/>
      <c r="D85" s="70"/>
      <c r="E85" s="5"/>
      <c r="F85" s="70"/>
      <c r="G85" s="70"/>
      <c r="H85" s="70"/>
      <c r="I85" s="70"/>
      <c r="J85" s="70"/>
      <c r="K85" s="70"/>
      <c r="L85" s="70"/>
      <c r="M85" s="70"/>
      <c r="N85" s="70"/>
      <c r="O85" s="70"/>
      <c r="P85" s="70"/>
      <c r="Q85" s="70"/>
      <c r="R85" s="70"/>
      <c r="S85" s="70"/>
      <c r="T85" s="70"/>
      <c r="U85" s="70"/>
      <c r="V85" s="70"/>
      <c r="W85" s="70"/>
    </row>
    <row r="86" ht="14.25" customHeight="1">
      <c r="A86" s="70"/>
      <c r="B86" s="70"/>
      <c r="C86" s="70"/>
      <c r="D86" s="70"/>
      <c r="E86" s="5"/>
      <c r="F86" s="70"/>
      <c r="G86" s="70"/>
      <c r="H86" s="70"/>
      <c r="I86" s="70"/>
      <c r="J86" s="70"/>
      <c r="K86" s="70"/>
      <c r="L86" s="70"/>
      <c r="M86" s="70"/>
      <c r="N86" s="70"/>
      <c r="O86" s="70"/>
      <c r="P86" s="70"/>
      <c r="Q86" s="70"/>
      <c r="R86" s="70"/>
      <c r="S86" s="70"/>
      <c r="T86" s="70"/>
      <c r="U86" s="70"/>
      <c r="V86" s="70"/>
      <c r="W86" s="70"/>
    </row>
    <row r="87" ht="14.25" customHeight="1">
      <c r="A87" s="70"/>
      <c r="B87" s="70"/>
      <c r="C87" s="70"/>
      <c r="D87" s="70"/>
      <c r="E87" s="5"/>
      <c r="F87" s="70"/>
      <c r="G87" s="70"/>
      <c r="H87" s="70"/>
      <c r="I87" s="70"/>
      <c r="J87" s="70"/>
      <c r="K87" s="70"/>
      <c r="L87" s="70"/>
      <c r="M87" s="70"/>
      <c r="N87" s="70"/>
      <c r="O87" s="70"/>
      <c r="P87" s="70"/>
      <c r="Q87" s="70"/>
      <c r="R87" s="70"/>
      <c r="S87" s="70"/>
      <c r="T87" s="70"/>
      <c r="U87" s="70"/>
      <c r="V87" s="70"/>
      <c r="W87" s="70"/>
    </row>
    <row r="88" ht="14.25" customHeight="1">
      <c r="A88" s="70"/>
      <c r="B88" s="70"/>
      <c r="C88" s="70"/>
      <c r="D88" s="70"/>
      <c r="E88" s="5"/>
      <c r="F88" s="70"/>
      <c r="G88" s="70"/>
      <c r="H88" s="70"/>
      <c r="I88" s="70"/>
      <c r="J88" s="70"/>
      <c r="K88" s="70"/>
      <c r="L88" s="70"/>
      <c r="M88" s="70"/>
      <c r="N88" s="70"/>
      <c r="O88" s="70"/>
      <c r="P88" s="70"/>
      <c r="Q88" s="70"/>
      <c r="R88" s="70"/>
      <c r="S88" s="70"/>
      <c r="T88" s="70"/>
      <c r="U88" s="70"/>
      <c r="V88" s="70"/>
      <c r="W88" s="70"/>
    </row>
    <row r="89" ht="14.25" customHeight="1">
      <c r="A89" s="70"/>
      <c r="B89" s="70"/>
      <c r="C89" s="70"/>
      <c r="D89" s="70"/>
      <c r="E89" s="5"/>
      <c r="F89" s="70"/>
      <c r="G89" s="70"/>
      <c r="H89" s="70"/>
      <c r="I89" s="70"/>
      <c r="J89" s="70"/>
      <c r="K89" s="70"/>
      <c r="L89" s="70"/>
      <c r="M89" s="70"/>
      <c r="N89" s="70"/>
      <c r="O89" s="70"/>
      <c r="P89" s="70"/>
      <c r="Q89" s="70"/>
      <c r="R89" s="70"/>
      <c r="S89" s="70"/>
      <c r="T89" s="70"/>
      <c r="U89" s="70"/>
      <c r="V89" s="70"/>
      <c r="W89" s="70"/>
    </row>
    <row r="90" ht="14.25" customHeight="1">
      <c r="A90" s="70"/>
      <c r="B90" s="70"/>
      <c r="C90" s="70"/>
      <c r="D90" s="70"/>
      <c r="E90" s="5"/>
      <c r="F90" s="70"/>
      <c r="G90" s="70"/>
      <c r="H90" s="70"/>
      <c r="I90" s="70"/>
      <c r="J90" s="70"/>
      <c r="K90" s="70"/>
      <c r="L90" s="70"/>
      <c r="M90" s="70"/>
      <c r="N90" s="70"/>
      <c r="O90" s="70"/>
      <c r="P90" s="70"/>
      <c r="Q90" s="70"/>
      <c r="R90" s="70"/>
      <c r="S90" s="70"/>
      <c r="T90" s="70"/>
      <c r="U90" s="70"/>
      <c r="V90" s="70"/>
      <c r="W90" s="70"/>
    </row>
    <row r="91" ht="14.25" customHeight="1">
      <c r="A91" s="70"/>
      <c r="B91" s="70"/>
      <c r="C91" s="70"/>
      <c r="D91" s="70"/>
      <c r="E91" s="5"/>
      <c r="F91" s="70"/>
      <c r="G91" s="70"/>
      <c r="H91" s="70"/>
      <c r="I91" s="70"/>
      <c r="J91" s="70"/>
      <c r="K91" s="70"/>
      <c r="L91" s="70"/>
      <c r="M91" s="70"/>
      <c r="N91" s="70"/>
      <c r="O91" s="70"/>
      <c r="P91" s="70"/>
      <c r="Q91" s="70"/>
      <c r="R91" s="70"/>
      <c r="S91" s="70"/>
      <c r="T91" s="70"/>
      <c r="U91" s="70"/>
      <c r="V91" s="70"/>
      <c r="W91" s="70"/>
    </row>
    <row r="92" ht="14.25" customHeight="1">
      <c r="A92" s="70"/>
      <c r="B92" s="70"/>
      <c r="C92" s="70"/>
      <c r="D92" s="70"/>
      <c r="E92" s="5"/>
      <c r="F92" s="70"/>
      <c r="G92" s="70"/>
      <c r="H92" s="70"/>
      <c r="I92" s="70"/>
      <c r="J92" s="70"/>
      <c r="K92" s="70"/>
      <c r="L92" s="70"/>
      <c r="M92" s="70"/>
      <c r="N92" s="70"/>
      <c r="O92" s="70"/>
      <c r="P92" s="70"/>
      <c r="Q92" s="70"/>
      <c r="R92" s="70"/>
      <c r="S92" s="70"/>
      <c r="T92" s="70"/>
      <c r="U92" s="70"/>
      <c r="V92" s="70"/>
      <c r="W92" s="70"/>
    </row>
    <row r="93" ht="14.25" customHeight="1">
      <c r="A93" s="70"/>
      <c r="B93" s="70"/>
      <c r="C93" s="70"/>
      <c r="D93" s="70"/>
      <c r="E93" s="5"/>
      <c r="F93" s="70"/>
      <c r="G93" s="70"/>
      <c r="H93" s="70"/>
      <c r="I93" s="70"/>
      <c r="J93" s="70"/>
      <c r="K93" s="70"/>
      <c r="L93" s="70"/>
      <c r="M93" s="70"/>
      <c r="N93" s="70"/>
      <c r="O93" s="70"/>
      <c r="P93" s="70"/>
      <c r="Q93" s="70"/>
      <c r="R93" s="70"/>
      <c r="S93" s="70"/>
      <c r="T93" s="70"/>
      <c r="U93" s="70"/>
      <c r="V93" s="70"/>
      <c r="W93" s="70"/>
    </row>
    <row r="94" ht="14.25" customHeight="1">
      <c r="A94" s="70"/>
      <c r="B94" s="70"/>
      <c r="C94" s="70"/>
      <c r="D94" s="70"/>
      <c r="E94" s="5"/>
      <c r="F94" s="70"/>
      <c r="G94" s="70"/>
      <c r="H94" s="70"/>
      <c r="I94" s="70"/>
      <c r="J94" s="70"/>
      <c r="K94" s="70"/>
      <c r="L94" s="70"/>
      <c r="M94" s="70"/>
      <c r="N94" s="70"/>
      <c r="O94" s="70"/>
      <c r="P94" s="70"/>
      <c r="Q94" s="70"/>
      <c r="R94" s="70"/>
      <c r="S94" s="70"/>
      <c r="T94" s="70"/>
      <c r="U94" s="70"/>
      <c r="V94" s="70"/>
      <c r="W94" s="70"/>
    </row>
    <row r="95" ht="14.25" customHeight="1">
      <c r="A95" s="70"/>
      <c r="B95" s="70"/>
      <c r="C95" s="70"/>
      <c r="D95" s="70"/>
      <c r="E95" s="5"/>
      <c r="F95" s="70"/>
      <c r="G95" s="70"/>
      <c r="H95" s="70"/>
      <c r="I95" s="70"/>
      <c r="J95" s="70"/>
      <c r="K95" s="70"/>
      <c r="L95" s="70"/>
      <c r="M95" s="70"/>
      <c r="N95" s="70"/>
      <c r="O95" s="70"/>
      <c r="P95" s="70"/>
      <c r="Q95" s="70"/>
      <c r="R95" s="70"/>
      <c r="S95" s="70"/>
      <c r="T95" s="70"/>
      <c r="U95" s="70"/>
      <c r="V95" s="70"/>
      <c r="W95" s="70"/>
    </row>
    <row r="96" ht="14.25" customHeight="1">
      <c r="A96" s="70"/>
      <c r="B96" s="70"/>
      <c r="C96" s="70"/>
      <c r="D96" s="70"/>
      <c r="E96" s="5"/>
      <c r="F96" s="70"/>
      <c r="G96" s="70"/>
      <c r="H96" s="70"/>
      <c r="I96" s="70"/>
      <c r="J96" s="70"/>
      <c r="K96" s="70"/>
      <c r="L96" s="70"/>
      <c r="M96" s="70"/>
      <c r="N96" s="70"/>
      <c r="O96" s="70"/>
      <c r="P96" s="70"/>
      <c r="Q96" s="70"/>
      <c r="R96" s="70"/>
      <c r="S96" s="70"/>
      <c r="T96" s="70"/>
      <c r="U96" s="70"/>
      <c r="V96" s="70"/>
      <c r="W96" s="70"/>
    </row>
    <row r="97" ht="14.25" customHeight="1">
      <c r="A97" s="70"/>
      <c r="B97" s="70"/>
      <c r="C97" s="70"/>
      <c r="D97" s="70"/>
      <c r="E97" s="5"/>
      <c r="F97" s="70"/>
      <c r="G97" s="70"/>
      <c r="H97" s="70"/>
      <c r="I97" s="70"/>
      <c r="J97" s="70"/>
      <c r="K97" s="70"/>
      <c r="L97" s="70"/>
      <c r="M97" s="70"/>
      <c r="N97" s="70"/>
      <c r="O97" s="70"/>
      <c r="P97" s="70"/>
      <c r="Q97" s="70"/>
      <c r="R97" s="70"/>
      <c r="S97" s="70"/>
      <c r="T97" s="70"/>
      <c r="U97" s="70"/>
      <c r="V97" s="70"/>
      <c r="W97" s="70"/>
    </row>
    <row r="98" ht="14.25" customHeight="1">
      <c r="A98" s="70"/>
      <c r="B98" s="70"/>
      <c r="C98" s="70"/>
      <c r="D98" s="70"/>
      <c r="E98" s="5"/>
      <c r="F98" s="70"/>
      <c r="G98" s="70"/>
      <c r="H98" s="70"/>
      <c r="I98" s="70"/>
      <c r="J98" s="70"/>
      <c r="K98" s="70"/>
      <c r="L98" s="70"/>
      <c r="M98" s="70"/>
      <c r="N98" s="70"/>
      <c r="O98" s="70"/>
      <c r="P98" s="70"/>
      <c r="Q98" s="70"/>
      <c r="R98" s="70"/>
      <c r="S98" s="70"/>
      <c r="T98" s="70"/>
      <c r="U98" s="70"/>
      <c r="V98" s="70"/>
      <c r="W98" s="70"/>
    </row>
    <row r="99" ht="14.25" customHeight="1">
      <c r="A99" s="70"/>
      <c r="B99" s="70"/>
      <c r="C99" s="70"/>
      <c r="D99" s="70"/>
      <c r="E99" s="5"/>
      <c r="F99" s="70"/>
      <c r="G99" s="70"/>
      <c r="H99" s="70"/>
      <c r="I99" s="70"/>
      <c r="J99" s="70"/>
      <c r="K99" s="70"/>
      <c r="L99" s="70"/>
      <c r="M99" s="70"/>
      <c r="N99" s="70"/>
      <c r="O99" s="70"/>
      <c r="P99" s="70"/>
      <c r="Q99" s="70"/>
      <c r="R99" s="70"/>
      <c r="S99" s="70"/>
      <c r="T99" s="70"/>
      <c r="U99" s="70"/>
      <c r="V99" s="70"/>
      <c r="W99" s="70"/>
    </row>
    <row r="100" ht="14.25" customHeight="1">
      <c r="A100" s="70"/>
      <c r="B100" s="70"/>
      <c r="C100" s="70"/>
      <c r="D100" s="70"/>
      <c r="E100" s="5"/>
      <c r="F100" s="70"/>
      <c r="G100" s="70"/>
      <c r="H100" s="70"/>
      <c r="I100" s="70"/>
      <c r="J100" s="70"/>
      <c r="K100" s="70"/>
      <c r="L100" s="70"/>
      <c r="M100" s="70"/>
      <c r="N100" s="70"/>
      <c r="O100" s="70"/>
      <c r="P100" s="70"/>
      <c r="Q100" s="70"/>
      <c r="R100" s="70"/>
      <c r="S100" s="70"/>
      <c r="T100" s="70"/>
      <c r="U100" s="70"/>
      <c r="V100" s="70"/>
      <c r="W100" s="70"/>
    </row>
    <row r="101" ht="14.25" customHeight="1">
      <c r="A101" s="70"/>
      <c r="B101" s="70"/>
      <c r="C101" s="70"/>
      <c r="D101" s="70"/>
      <c r="E101" s="5"/>
      <c r="F101" s="70"/>
      <c r="G101" s="70"/>
      <c r="H101" s="70"/>
      <c r="I101" s="70"/>
      <c r="J101" s="70"/>
      <c r="K101" s="70"/>
      <c r="L101" s="70"/>
      <c r="M101" s="70"/>
      <c r="N101" s="70"/>
      <c r="O101" s="70"/>
      <c r="P101" s="70"/>
      <c r="Q101" s="70"/>
      <c r="R101" s="70"/>
      <c r="S101" s="70"/>
      <c r="T101" s="70"/>
      <c r="U101" s="70"/>
      <c r="V101" s="70"/>
      <c r="W101" s="70"/>
    </row>
    <row r="102" ht="14.25" customHeight="1">
      <c r="A102" s="70"/>
      <c r="B102" s="70"/>
      <c r="C102" s="70"/>
      <c r="D102" s="70"/>
      <c r="E102" s="5"/>
      <c r="F102" s="70"/>
      <c r="G102" s="70"/>
      <c r="H102" s="70"/>
      <c r="I102" s="70"/>
      <c r="J102" s="70"/>
      <c r="K102" s="70"/>
      <c r="L102" s="70"/>
      <c r="M102" s="70"/>
      <c r="N102" s="70"/>
      <c r="O102" s="70"/>
      <c r="P102" s="70"/>
      <c r="Q102" s="70"/>
      <c r="R102" s="70"/>
      <c r="S102" s="70"/>
      <c r="T102" s="70"/>
      <c r="U102" s="70"/>
      <c r="V102" s="70"/>
      <c r="W102" s="70"/>
    </row>
    <row r="103" ht="14.25" customHeight="1">
      <c r="A103" s="70"/>
      <c r="B103" s="70"/>
      <c r="C103" s="70"/>
      <c r="D103" s="70"/>
      <c r="E103" s="5"/>
      <c r="F103" s="70"/>
      <c r="G103" s="70"/>
      <c r="H103" s="70"/>
      <c r="I103" s="70"/>
      <c r="J103" s="70"/>
      <c r="K103" s="70"/>
      <c r="L103" s="70"/>
      <c r="M103" s="70"/>
      <c r="N103" s="70"/>
      <c r="O103" s="70"/>
      <c r="P103" s="70"/>
      <c r="Q103" s="70"/>
      <c r="R103" s="70"/>
      <c r="S103" s="70"/>
      <c r="T103" s="70"/>
      <c r="U103" s="70"/>
      <c r="V103" s="70"/>
      <c r="W103" s="70"/>
    </row>
    <row r="104" ht="14.25" customHeight="1">
      <c r="A104" s="70"/>
      <c r="B104" s="70"/>
      <c r="C104" s="70"/>
      <c r="D104" s="70"/>
      <c r="E104" s="5"/>
      <c r="F104" s="70"/>
      <c r="G104" s="70"/>
      <c r="H104" s="70"/>
      <c r="I104" s="70"/>
      <c r="J104" s="70"/>
      <c r="K104" s="70"/>
      <c r="L104" s="70"/>
      <c r="M104" s="70"/>
      <c r="N104" s="70"/>
      <c r="O104" s="70"/>
      <c r="P104" s="70"/>
      <c r="Q104" s="70"/>
      <c r="R104" s="70"/>
      <c r="S104" s="70"/>
      <c r="T104" s="70"/>
      <c r="U104" s="70"/>
      <c r="V104" s="70"/>
      <c r="W104" s="70"/>
    </row>
    <row r="105" ht="14.25" customHeight="1">
      <c r="A105" s="70"/>
      <c r="B105" s="70"/>
      <c r="C105" s="70"/>
      <c r="D105" s="70"/>
      <c r="E105" s="5"/>
      <c r="F105" s="70"/>
      <c r="G105" s="70"/>
      <c r="H105" s="70"/>
      <c r="I105" s="70"/>
      <c r="J105" s="70"/>
      <c r="K105" s="70"/>
      <c r="L105" s="70"/>
      <c r="M105" s="70"/>
      <c r="N105" s="70"/>
      <c r="O105" s="70"/>
      <c r="P105" s="70"/>
      <c r="Q105" s="70"/>
      <c r="R105" s="70"/>
      <c r="S105" s="70"/>
      <c r="T105" s="70"/>
      <c r="U105" s="70"/>
      <c r="V105" s="70"/>
      <c r="W105" s="70"/>
    </row>
    <row r="106" ht="14.25" customHeight="1">
      <c r="A106" s="70"/>
      <c r="B106" s="70"/>
      <c r="C106" s="70"/>
      <c r="D106" s="70"/>
      <c r="E106" s="5"/>
      <c r="F106" s="70"/>
      <c r="G106" s="70"/>
      <c r="H106" s="70"/>
      <c r="I106" s="70"/>
      <c r="J106" s="70"/>
      <c r="K106" s="70"/>
      <c r="L106" s="70"/>
      <c r="M106" s="70"/>
      <c r="N106" s="70"/>
      <c r="O106" s="70"/>
      <c r="P106" s="70"/>
      <c r="Q106" s="70"/>
      <c r="R106" s="70"/>
      <c r="S106" s="70"/>
      <c r="T106" s="70"/>
      <c r="U106" s="70"/>
      <c r="V106" s="70"/>
      <c r="W106" s="70"/>
    </row>
    <row r="107" ht="14.25" customHeight="1">
      <c r="A107" s="70"/>
      <c r="B107" s="70"/>
      <c r="C107" s="70"/>
      <c r="D107" s="70"/>
      <c r="E107" s="5"/>
      <c r="F107" s="70"/>
      <c r="G107" s="70"/>
      <c r="H107" s="70"/>
      <c r="I107" s="70"/>
      <c r="J107" s="70"/>
      <c r="K107" s="70"/>
      <c r="L107" s="70"/>
      <c r="M107" s="70"/>
      <c r="N107" s="70"/>
      <c r="O107" s="70"/>
      <c r="P107" s="70"/>
      <c r="Q107" s="70"/>
      <c r="R107" s="70"/>
      <c r="S107" s="70"/>
      <c r="T107" s="70"/>
      <c r="U107" s="70"/>
      <c r="V107" s="70"/>
      <c r="W107" s="70"/>
    </row>
    <row r="108" ht="14.25" customHeight="1">
      <c r="A108" s="70"/>
      <c r="B108" s="70"/>
      <c r="C108" s="70"/>
      <c r="D108" s="70"/>
      <c r="E108" s="5"/>
      <c r="F108" s="70"/>
      <c r="G108" s="70"/>
      <c r="H108" s="70"/>
      <c r="I108" s="70"/>
      <c r="J108" s="70"/>
      <c r="K108" s="70"/>
      <c r="L108" s="70"/>
      <c r="M108" s="70"/>
      <c r="N108" s="70"/>
      <c r="O108" s="70"/>
      <c r="P108" s="70"/>
      <c r="Q108" s="70"/>
      <c r="R108" s="70"/>
      <c r="S108" s="70"/>
      <c r="T108" s="70"/>
      <c r="U108" s="70"/>
      <c r="V108" s="70"/>
      <c r="W108" s="70"/>
    </row>
    <row r="109" ht="14.25" customHeight="1">
      <c r="A109" s="70"/>
      <c r="B109" s="70"/>
      <c r="C109" s="70"/>
      <c r="D109" s="70"/>
      <c r="E109" s="5"/>
      <c r="F109" s="70"/>
      <c r="G109" s="70"/>
      <c r="H109" s="70"/>
      <c r="I109" s="70"/>
      <c r="J109" s="70"/>
      <c r="K109" s="70"/>
      <c r="L109" s="70"/>
      <c r="M109" s="70"/>
      <c r="N109" s="70"/>
      <c r="O109" s="70"/>
      <c r="P109" s="70"/>
      <c r="Q109" s="70"/>
      <c r="R109" s="70"/>
      <c r="S109" s="70"/>
      <c r="T109" s="70"/>
      <c r="U109" s="70"/>
      <c r="V109" s="70"/>
      <c r="W109" s="70"/>
    </row>
    <row r="110" ht="14.25" customHeight="1">
      <c r="A110" s="70"/>
      <c r="B110" s="70"/>
      <c r="C110" s="70"/>
      <c r="D110" s="70"/>
      <c r="E110" s="5"/>
      <c r="F110" s="70"/>
      <c r="G110" s="70"/>
      <c r="H110" s="70"/>
      <c r="I110" s="70"/>
      <c r="J110" s="70"/>
      <c r="K110" s="70"/>
      <c r="L110" s="70"/>
      <c r="M110" s="70"/>
      <c r="N110" s="70"/>
      <c r="O110" s="70"/>
      <c r="P110" s="70"/>
      <c r="Q110" s="70"/>
      <c r="R110" s="70"/>
      <c r="S110" s="70"/>
      <c r="T110" s="70"/>
      <c r="U110" s="70"/>
      <c r="V110" s="70"/>
      <c r="W110" s="70"/>
    </row>
    <row r="111" ht="14.25" customHeight="1">
      <c r="A111" s="70"/>
      <c r="B111" s="70"/>
      <c r="C111" s="70"/>
      <c r="D111" s="70"/>
      <c r="E111" s="5"/>
      <c r="F111" s="70"/>
      <c r="G111" s="70"/>
      <c r="H111" s="70"/>
      <c r="I111" s="70"/>
      <c r="J111" s="70"/>
      <c r="K111" s="70"/>
      <c r="L111" s="70"/>
      <c r="M111" s="70"/>
      <c r="N111" s="70"/>
      <c r="O111" s="70"/>
      <c r="P111" s="70"/>
      <c r="Q111" s="70"/>
      <c r="R111" s="70"/>
      <c r="S111" s="70"/>
      <c r="T111" s="70"/>
      <c r="U111" s="70"/>
      <c r="V111" s="70"/>
      <c r="W111" s="70"/>
    </row>
    <row r="112" ht="14.25" customHeight="1">
      <c r="A112" s="70"/>
      <c r="B112" s="70"/>
      <c r="C112" s="70"/>
      <c r="D112" s="70"/>
      <c r="E112" s="5"/>
      <c r="F112" s="70"/>
      <c r="G112" s="70"/>
      <c r="H112" s="70"/>
      <c r="I112" s="70"/>
      <c r="J112" s="70"/>
      <c r="K112" s="70"/>
      <c r="L112" s="70"/>
      <c r="M112" s="70"/>
      <c r="N112" s="70"/>
      <c r="O112" s="70"/>
      <c r="P112" s="70"/>
      <c r="Q112" s="70"/>
      <c r="R112" s="70"/>
      <c r="S112" s="70"/>
      <c r="T112" s="70"/>
      <c r="U112" s="70"/>
      <c r="V112" s="70"/>
      <c r="W112" s="70"/>
    </row>
    <row r="113" ht="14.25" customHeight="1">
      <c r="A113" s="70"/>
      <c r="B113" s="70"/>
      <c r="C113" s="70"/>
      <c r="D113" s="70"/>
      <c r="E113" s="5"/>
      <c r="F113" s="70"/>
      <c r="G113" s="70"/>
      <c r="H113" s="70"/>
      <c r="I113" s="70"/>
      <c r="J113" s="70"/>
      <c r="K113" s="70"/>
      <c r="L113" s="70"/>
      <c r="M113" s="70"/>
      <c r="N113" s="70"/>
      <c r="O113" s="70"/>
      <c r="P113" s="70"/>
      <c r="Q113" s="70"/>
      <c r="R113" s="70"/>
      <c r="S113" s="70"/>
      <c r="T113" s="70"/>
      <c r="U113" s="70"/>
      <c r="V113" s="70"/>
      <c r="W113" s="70"/>
    </row>
    <row r="114" ht="14.25" customHeight="1">
      <c r="A114" s="70"/>
      <c r="B114" s="70"/>
      <c r="C114" s="70"/>
      <c r="D114" s="70"/>
      <c r="E114" s="5"/>
      <c r="F114" s="70"/>
      <c r="G114" s="70"/>
      <c r="H114" s="70"/>
      <c r="I114" s="70"/>
      <c r="J114" s="70"/>
      <c r="K114" s="70"/>
      <c r="L114" s="70"/>
      <c r="M114" s="70"/>
      <c r="N114" s="70"/>
      <c r="O114" s="70"/>
      <c r="P114" s="70"/>
      <c r="Q114" s="70"/>
      <c r="R114" s="70"/>
      <c r="S114" s="70"/>
      <c r="T114" s="70"/>
      <c r="U114" s="70"/>
      <c r="V114" s="70"/>
      <c r="W114" s="70"/>
    </row>
    <row r="115" ht="14.25" customHeight="1">
      <c r="A115" s="70"/>
      <c r="B115" s="70"/>
      <c r="C115" s="70"/>
      <c r="D115" s="70"/>
      <c r="E115" s="5"/>
      <c r="F115" s="70"/>
      <c r="G115" s="70"/>
      <c r="H115" s="70"/>
      <c r="I115" s="70"/>
      <c r="J115" s="70"/>
      <c r="K115" s="70"/>
      <c r="L115" s="70"/>
      <c r="M115" s="70"/>
      <c r="N115" s="70"/>
      <c r="O115" s="70"/>
      <c r="P115" s="70"/>
      <c r="Q115" s="70"/>
      <c r="R115" s="70"/>
      <c r="S115" s="70"/>
      <c r="T115" s="70"/>
      <c r="U115" s="70"/>
      <c r="V115" s="70"/>
      <c r="W115" s="70"/>
    </row>
    <row r="116" ht="14.25" customHeight="1">
      <c r="A116" s="70"/>
      <c r="B116" s="70"/>
      <c r="C116" s="70"/>
      <c r="D116" s="70"/>
      <c r="E116" s="5"/>
      <c r="F116" s="70"/>
      <c r="G116" s="70"/>
      <c r="H116" s="70"/>
      <c r="I116" s="70"/>
      <c r="J116" s="70"/>
      <c r="K116" s="70"/>
      <c r="L116" s="70"/>
      <c r="M116" s="70"/>
      <c r="N116" s="70"/>
      <c r="O116" s="70"/>
      <c r="P116" s="70"/>
      <c r="Q116" s="70"/>
      <c r="R116" s="70"/>
      <c r="S116" s="70"/>
      <c r="T116" s="70"/>
      <c r="U116" s="70"/>
      <c r="V116" s="70"/>
      <c r="W116" s="70"/>
    </row>
    <row r="117" ht="14.25" customHeight="1">
      <c r="A117" s="70"/>
      <c r="B117" s="70"/>
      <c r="C117" s="70"/>
      <c r="D117" s="70"/>
      <c r="E117" s="5"/>
      <c r="F117" s="70"/>
      <c r="G117" s="70"/>
      <c r="H117" s="70"/>
      <c r="I117" s="70"/>
      <c r="J117" s="70"/>
      <c r="K117" s="70"/>
      <c r="L117" s="70"/>
      <c r="M117" s="70"/>
      <c r="N117" s="70"/>
      <c r="O117" s="70"/>
      <c r="P117" s="70"/>
      <c r="Q117" s="70"/>
      <c r="R117" s="70"/>
      <c r="S117" s="70"/>
      <c r="T117" s="70"/>
      <c r="U117" s="70"/>
      <c r="V117" s="70"/>
      <c r="W117" s="70"/>
    </row>
    <row r="118" ht="14.25" customHeight="1">
      <c r="A118" s="70"/>
      <c r="B118" s="70"/>
      <c r="C118" s="70"/>
      <c r="D118" s="70"/>
      <c r="E118" s="5"/>
      <c r="F118" s="70"/>
      <c r="G118" s="70"/>
      <c r="H118" s="70"/>
      <c r="I118" s="70"/>
      <c r="J118" s="70"/>
      <c r="K118" s="70"/>
      <c r="L118" s="70"/>
      <c r="M118" s="70"/>
      <c r="N118" s="70"/>
      <c r="O118" s="70"/>
      <c r="P118" s="70"/>
      <c r="Q118" s="70"/>
      <c r="R118" s="70"/>
      <c r="S118" s="70"/>
      <c r="T118" s="70"/>
      <c r="U118" s="70"/>
      <c r="V118" s="70"/>
      <c r="W118" s="70"/>
    </row>
    <row r="119" ht="14.25" customHeight="1">
      <c r="A119" s="70"/>
      <c r="B119" s="70"/>
      <c r="C119" s="70"/>
      <c r="D119" s="70"/>
      <c r="E119" s="5"/>
      <c r="F119" s="70"/>
      <c r="G119" s="70"/>
      <c r="H119" s="70"/>
      <c r="I119" s="70"/>
      <c r="J119" s="70"/>
      <c r="K119" s="70"/>
      <c r="L119" s="70"/>
      <c r="M119" s="70"/>
      <c r="N119" s="70"/>
      <c r="O119" s="70"/>
      <c r="P119" s="70"/>
      <c r="Q119" s="70"/>
      <c r="R119" s="70"/>
      <c r="S119" s="70"/>
      <c r="T119" s="70"/>
      <c r="U119" s="70"/>
      <c r="V119" s="70"/>
      <c r="W119" s="70"/>
    </row>
    <row r="120" ht="14.25" customHeight="1">
      <c r="A120" s="70"/>
      <c r="B120" s="70"/>
      <c r="C120" s="70"/>
      <c r="D120" s="70"/>
      <c r="E120" s="5"/>
      <c r="F120" s="70"/>
      <c r="G120" s="70"/>
      <c r="H120" s="70"/>
      <c r="I120" s="70"/>
      <c r="J120" s="70"/>
      <c r="K120" s="70"/>
      <c r="L120" s="70"/>
      <c r="M120" s="70"/>
      <c r="N120" s="70"/>
      <c r="O120" s="70"/>
      <c r="P120" s="70"/>
      <c r="Q120" s="70"/>
      <c r="R120" s="70"/>
      <c r="S120" s="70"/>
      <c r="T120" s="70"/>
      <c r="U120" s="70"/>
      <c r="V120" s="70"/>
      <c r="W120" s="70"/>
    </row>
    <row r="121" ht="14.25" customHeight="1">
      <c r="A121" s="70"/>
      <c r="B121" s="70"/>
      <c r="C121" s="70"/>
      <c r="D121" s="70"/>
      <c r="E121" s="5"/>
      <c r="F121" s="70"/>
      <c r="G121" s="70"/>
      <c r="H121" s="70"/>
      <c r="I121" s="70"/>
      <c r="J121" s="70"/>
      <c r="K121" s="70"/>
      <c r="L121" s="70"/>
      <c r="M121" s="70"/>
      <c r="N121" s="70"/>
      <c r="O121" s="70"/>
      <c r="P121" s="70"/>
      <c r="Q121" s="70"/>
      <c r="R121" s="70"/>
      <c r="S121" s="70"/>
      <c r="T121" s="70"/>
      <c r="U121" s="70"/>
      <c r="V121" s="70"/>
      <c r="W121" s="70"/>
    </row>
    <row r="122" ht="14.25" customHeight="1">
      <c r="A122" s="70"/>
      <c r="B122" s="70"/>
      <c r="C122" s="70"/>
      <c r="D122" s="70"/>
      <c r="E122" s="5"/>
      <c r="F122" s="70"/>
      <c r="G122" s="70"/>
      <c r="H122" s="70"/>
      <c r="I122" s="70"/>
      <c r="J122" s="70"/>
      <c r="K122" s="70"/>
      <c r="L122" s="70"/>
      <c r="M122" s="70"/>
      <c r="N122" s="70"/>
      <c r="O122" s="70"/>
      <c r="P122" s="70"/>
      <c r="Q122" s="70"/>
      <c r="R122" s="70"/>
      <c r="S122" s="70"/>
      <c r="T122" s="70"/>
      <c r="U122" s="70"/>
      <c r="V122" s="70"/>
      <c r="W122" s="70"/>
    </row>
    <row r="123" ht="14.25" customHeight="1">
      <c r="A123" s="70"/>
      <c r="B123" s="70"/>
      <c r="C123" s="70"/>
      <c r="D123" s="70"/>
      <c r="E123" s="5"/>
      <c r="F123" s="70"/>
      <c r="G123" s="70"/>
      <c r="H123" s="70"/>
      <c r="I123" s="70"/>
      <c r="J123" s="70"/>
      <c r="K123" s="70"/>
      <c r="L123" s="70"/>
      <c r="M123" s="70"/>
      <c r="N123" s="70"/>
      <c r="O123" s="70"/>
      <c r="P123" s="70"/>
      <c r="Q123" s="70"/>
      <c r="R123" s="70"/>
      <c r="S123" s="70"/>
      <c r="T123" s="70"/>
      <c r="U123" s="70"/>
      <c r="V123" s="70"/>
      <c r="W123" s="70"/>
    </row>
    <row r="124" ht="14.25" customHeight="1">
      <c r="A124" s="70"/>
      <c r="B124" s="70"/>
      <c r="C124" s="70"/>
      <c r="D124" s="70"/>
      <c r="E124" s="5"/>
      <c r="F124" s="70"/>
      <c r="G124" s="70"/>
      <c r="H124" s="70"/>
      <c r="I124" s="70"/>
      <c r="J124" s="70"/>
      <c r="K124" s="70"/>
      <c r="L124" s="70"/>
      <c r="M124" s="70"/>
      <c r="N124" s="70"/>
      <c r="O124" s="70"/>
      <c r="P124" s="70"/>
      <c r="Q124" s="70"/>
      <c r="R124" s="70"/>
      <c r="S124" s="70"/>
      <c r="T124" s="70"/>
      <c r="U124" s="70"/>
      <c r="V124" s="70"/>
      <c r="W124" s="70"/>
    </row>
    <row r="125" ht="14.25" customHeight="1">
      <c r="A125" s="70"/>
      <c r="B125" s="70"/>
      <c r="C125" s="70"/>
      <c r="D125" s="70"/>
      <c r="E125" s="5"/>
      <c r="F125" s="70"/>
      <c r="G125" s="70"/>
      <c r="H125" s="70"/>
      <c r="I125" s="70"/>
      <c r="J125" s="70"/>
      <c r="K125" s="70"/>
      <c r="L125" s="70"/>
      <c r="M125" s="70"/>
      <c r="N125" s="70"/>
      <c r="O125" s="70"/>
      <c r="P125" s="70"/>
      <c r="Q125" s="70"/>
      <c r="R125" s="70"/>
      <c r="S125" s="70"/>
      <c r="T125" s="70"/>
      <c r="U125" s="70"/>
      <c r="V125" s="70"/>
      <c r="W125" s="70"/>
    </row>
    <row r="126" ht="14.25" customHeight="1">
      <c r="A126" s="70"/>
      <c r="B126" s="70"/>
      <c r="C126" s="70"/>
      <c r="D126" s="70"/>
      <c r="E126" s="5"/>
      <c r="F126" s="70"/>
      <c r="G126" s="70"/>
      <c r="H126" s="70"/>
      <c r="I126" s="70"/>
      <c r="J126" s="70"/>
      <c r="K126" s="70"/>
      <c r="L126" s="70"/>
      <c r="M126" s="70"/>
      <c r="N126" s="70"/>
      <c r="O126" s="70"/>
      <c r="P126" s="70"/>
      <c r="Q126" s="70"/>
      <c r="R126" s="70"/>
      <c r="S126" s="70"/>
      <c r="T126" s="70"/>
      <c r="U126" s="70"/>
      <c r="V126" s="70"/>
      <c r="W126" s="70"/>
    </row>
    <row r="127" ht="14.25" customHeight="1">
      <c r="A127" s="70"/>
      <c r="B127" s="70"/>
      <c r="C127" s="70"/>
      <c r="D127" s="70"/>
      <c r="E127" s="5"/>
      <c r="F127" s="70"/>
      <c r="G127" s="70"/>
      <c r="H127" s="70"/>
      <c r="I127" s="70"/>
      <c r="J127" s="70"/>
      <c r="K127" s="70"/>
      <c r="L127" s="70"/>
      <c r="M127" s="70"/>
      <c r="N127" s="70"/>
      <c r="O127" s="70"/>
      <c r="P127" s="70"/>
      <c r="Q127" s="70"/>
      <c r="R127" s="70"/>
      <c r="S127" s="70"/>
      <c r="T127" s="70"/>
      <c r="U127" s="70"/>
      <c r="V127" s="70"/>
      <c r="W127" s="70"/>
    </row>
    <row r="128" ht="14.25" customHeight="1">
      <c r="A128" s="70"/>
      <c r="B128" s="70"/>
      <c r="C128" s="70"/>
      <c r="D128" s="70"/>
      <c r="E128" s="5"/>
      <c r="F128" s="70"/>
      <c r="G128" s="70"/>
      <c r="H128" s="70"/>
      <c r="I128" s="70"/>
      <c r="J128" s="70"/>
      <c r="K128" s="70"/>
      <c r="L128" s="70"/>
      <c r="M128" s="70"/>
      <c r="N128" s="70"/>
      <c r="O128" s="70"/>
      <c r="P128" s="70"/>
      <c r="Q128" s="70"/>
      <c r="R128" s="70"/>
      <c r="S128" s="70"/>
      <c r="T128" s="70"/>
      <c r="U128" s="70"/>
      <c r="V128" s="70"/>
      <c r="W128" s="70"/>
    </row>
    <row r="129" ht="14.25" customHeight="1">
      <c r="A129" s="70"/>
      <c r="B129" s="70"/>
      <c r="C129" s="70"/>
      <c r="D129" s="70"/>
      <c r="E129" s="5"/>
      <c r="F129" s="70"/>
      <c r="G129" s="70"/>
      <c r="H129" s="70"/>
      <c r="I129" s="70"/>
      <c r="J129" s="70"/>
      <c r="K129" s="70"/>
      <c r="L129" s="70"/>
      <c r="M129" s="70"/>
      <c r="N129" s="70"/>
      <c r="O129" s="70"/>
      <c r="P129" s="70"/>
      <c r="Q129" s="70"/>
      <c r="R129" s="70"/>
      <c r="S129" s="70"/>
      <c r="T129" s="70"/>
      <c r="U129" s="70"/>
      <c r="V129" s="70"/>
      <c r="W129" s="70"/>
    </row>
    <row r="130" ht="14.25" customHeight="1">
      <c r="A130" s="70"/>
      <c r="B130" s="70"/>
      <c r="C130" s="70"/>
      <c r="D130" s="70"/>
      <c r="E130" s="5"/>
      <c r="F130" s="70"/>
      <c r="G130" s="70"/>
      <c r="H130" s="70"/>
      <c r="I130" s="70"/>
      <c r="J130" s="70"/>
      <c r="K130" s="70"/>
      <c r="L130" s="70"/>
      <c r="M130" s="70"/>
      <c r="N130" s="70"/>
      <c r="O130" s="70"/>
      <c r="P130" s="70"/>
      <c r="Q130" s="70"/>
      <c r="R130" s="70"/>
      <c r="S130" s="70"/>
      <c r="T130" s="70"/>
      <c r="U130" s="70"/>
      <c r="V130" s="70"/>
      <c r="W130" s="70"/>
    </row>
    <row r="131" ht="14.25" customHeight="1">
      <c r="A131" s="70"/>
      <c r="B131" s="70"/>
      <c r="C131" s="70"/>
      <c r="D131" s="70"/>
      <c r="E131" s="5"/>
      <c r="F131" s="70"/>
      <c r="G131" s="70"/>
      <c r="H131" s="70"/>
      <c r="I131" s="70"/>
      <c r="J131" s="70"/>
      <c r="K131" s="70"/>
      <c r="L131" s="70"/>
      <c r="M131" s="70"/>
      <c r="N131" s="70"/>
      <c r="O131" s="70"/>
      <c r="P131" s="70"/>
      <c r="Q131" s="70"/>
      <c r="R131" s="70"/>
      <c r="S131" s="70"/>
      <c r="T131" s="70"/>
      <c r="U131" s="70"/>
      <c r="V131" s="70"/>
      <c r="W131" s="70"/>
    </row>
    <row r="132" ht="14.25" customHeight="1">
      <c r="A132" s="70"/>
      <c r="B132" s="70"/>
      <c r="C132" s="70"/>
      <c r="D132" s="70"/>
      <c r="E132" s="5"/>
      <c r="F132" s="70"/>
      <c r="G132" s="70"/>
      <c r="H132" s="70"/>
      <c r="I132" s="70"/>
      <c r="J132" s="70"/>
      <c r="K132" s="70"/>
      <c r="L132" s="70"/>
      <c r="M132" s="70"/>
      <c r="N132" s="70"/>
      <c r="O132" s="70"/>
      <c r="P132" s="70"/>
      <c r="Q132" s="70"/>
      <c r="R132" s="70"/>
      <c r="S132" s="70"/>
      <c r="T132" s="70"/>
      <c r="U132" s="70"/>
      <c r="V132" s="70"/>
      <c r="W132" s="70"/>
    </row>
    <row r="133" ht="14.25" customHeight="1">
      <c r="A133" s="70"/>
      <c r="B133" s="70"/>
      <c r="C133" s="70"/>
      <c r="D133" s="70"/>
      <c r="E133" s="5"/>
      <c r="F133" s="70"/>
      <c r="G133" s="70"/>
      <c r="H133" s="70"/>
      <c r="I133" s="70"/>
      <c r="J133" s="70"/>
      <c r="K133" s="70"/>
      <c r="L133" s="70"/>
      <c r="M133" s="70"/>
      <c r="N133" s="70"/>
      <c r="O133" s="70"/>
      <c r="P133" s="70"/>
      <c r="Q133" s="70"/>
      <c r="R133" s="70"/>
      <c r="S133" s="70"/>
      <c r="T133" s="70"/>
      <c r="U133" s="70"/>
      <c r="V133" s="70"/>
      <c r="W133" s="70"/>
    </row>
    <row r="134" ht="14.25" customHeight="1">
      <c r="A134" s="70"/>
      <c r="B134" s="70"/>
      <c r="C134" s="70"/>
      <c r="D134" s="70"/>
      <c r="E134" s="5"/>
      <c r="F134" s="70"/>
      <c r="G134" s="70"/>
      <c r="H134" s="70"/>
      <c r="I134" s="70"/>
      <c r="J134" s="70"/>
      <c r="K134" s="70"/>
      <c r="L134" s="70"/>
      <c r="M134" s="70"/>
      <c r="N134" s="70"/>
      <c r="O134" s="70"/>
      <c r="P134" s="70"/>
      <c r="Q134" s="70"/>
      <c r="R134" s="70"/>
      <c r="S134" s="70"/>
      <c r="T134" s="70"/>
      <c r="U134" s="70"/>
      <c r="V134" s="70"/>
      <c r="W134" s="70"/>
    </row>
    <row r="135" ht="14.25" customHeight="1">
      <c r="A135" s="70"/>
      <c r="B135" s="70"/>
      <c r="C135" s="70"/>
      <c r="D135" s="70"/>
      <c r="E135" s="5"/>
      <c r="F135" s="70"/>
      <c r="G135" s="70"/>
      <c r="H135" s="70"/>
      <c r="I135" s="70"/>
      <c r="J135" s="70"/>
      <c r="K135" s="70"/>
      <c r="L135" s="70"/>
      <c r="M135" s="70"/>
      <c r="N135" s="70"/>
      <c r="O135" s="70"/>
      <c r="P135" s="70"/>
      <c r="Q135" s="70"/>
      <c r="R135" s="70"/>
      <c r="S135" s="70"/>
      <c r="T135" s="70"/>
      <c r="U135" s="70"/>
      <c r="V135" s="70"/>
      <c r="W135" s="70"/>
    </row>
    <row r="136" ht="14.25" customHeight="1">
      <c r="A136" s="70"/>
      <c r="B136" s="70"/>
      <c r="C136" s="70"/>
      <c r="D136" s="70"/>
      <c r="E136" s="5"/>
      <c r="F136" s="70"/>
      <c r="G136" s="70"/>
      <c r="H136" s="70"/>
      <c r="I136" s="70"/>
      <c r="J136" s="70"/>
      <c r="K136" s="70"/>
      <c r="L136" s="70"/>
      <c r="M136" s="70"/>
      <c r="N136" s="70"/>
      <c r="O136" s="70"/>
      <c r="P136" s="70"/>
      <c r="Q136" s="70"/>
      <c r="R136" s="70"/>
      <c r="S136" s="70"/>
      <c r="T136" s="70"/>
      <c r="U136" s="70"/>
      <c r="V136" s="70"/>
      <c r="W136" s="70"/>
    </row>
    <row r="137" ht="14.25" customHeight="1">
      <c r="A137" s="70"/>
      <c r="B137" s="70"/>
      <c r="C137" s="70"/>
      <c r="D137" s="70"/>
      <c r="E137" s="5"/>
      <c r="F137" s="70"/>
      <c r="G137" s="70"/>
      <c r="H137" s="70"/>
      <c r="I137" s="70"/>
      <c r="J137" s="70"/>
      <c r="K137" s="70"/>
      <c r="L137" s="70"/>
      <c r="M137" s="70"/>
      <c r="N137" s="70"/>
      <c r="O137" s="70"/>
      <c r="P137" s="70"/>
      <c r="Q137" s="70"/>
      <c r="R137" s="70"/>
      <c r="S137" s="70"/>
      <c r="T137" s="70"/>
      <c r="U137" s="70"/>
      <c r="V137" s="70"/>
      <c r="W137" s="70"/>
    </row>
    <row r="138" ht="14.25" customHeight="1">
      <c r="A138" s="70"/>
      <c r="B138" s="70"/>
      <c r="C138" s="70"/>
      <c r="D138" s="70"/>
      <c r="E138" s="5"/>
      <c r="F138" s="70"/>
      <c r="G138" s="70"/>
      <c r="H138" s="70"/>
      <c r="I138" s="70"/>
      <c r="J138" s="70"/>
      <c r="K138" s="70"/>
      <c r="L138" s="70"/>
      <c r="M138" s="70"/>
      <c r="N138" s="70"/>
      <c r="O138" s="70"/>
      <c r="P138" s="70"/>
      <c r="Q138" s="70"/>
      <c r="R138" s="70"/>
      <c r="S138" s="70"/>
      <c r="T138" s="70"/>
      <c r="U138" s="70"/>
      <c r="V138" s="70"/>
      <c r="W138" s="70"/>
    </row>
    <row r="139" ht="14.25" customHeight="1">
      <c r="A139" s="70"/>
      <c r="B139" s="70"/>
      <c r="C139" s="70"/>
      <c r="D139" s="70"/>
      <c r="E139" s="5"/>
      <c r="F139" s="70"/>
      <c r="G139" s="70"/>
      <c r="H139" s="70"/>
      <c r="I139" s="70"/>
      <c r="J139" s="70"/>
      <c r="K139" s="70"/>
      <c r="L139" s="70"/>
      <c r="M139" s="70"/>
      <c r="N139" s="70"/>
      <c r="O139" s="70"/>
      <c r="P139" s="70"/>
      <c r="Q139" s="70"/>
      <c r="R139" s="70"/>
      <c r="S139" s="70"/>
      <c r="T139" s="70"/>
      <c r="U139" s="70"/>
      <c r="V139" s="70"/>
      <c r="W139" s="70"/>
    </row>
    <row r="140" ht="14.25" customHeight="1">
      <c r="A140" s="70"/>
      <c r="B140" s="70"/>
      <c r="C140" s="70"/>
      <c r="D140" s="70"/>
      <c r="E140" s="5"/>
      <c r="F140" s="70"/>
      <c r="G140" s="70"/>
      <c r="H140" s="70"/>
      <c r="I140" s="70"/>
      <c r="J140" s="70"/>
      <c r="K140" s="70"/>
      <c r="L140" s="70"/>
      <c r="M140" s="70"/>
      <c r="N140" s="70"/>
      <c r="O140" s="70"/>
      <c r="P140" s="70"/>
      <c r="Q140" s="70"/>
      <c r="R140" s="70"/>
      <c r="S140" s="70"/>
      <c r="T140" s="70"/>
      <c r="U140" s="70"/>
      <c r="V140" s="70"/>
      <c r="W140" s="70"/>
    </row>
    <row r="141" ht="14.25" customHeight="1">
      <c r="A141" s="70"/>
      <c r="B141" s="70"/>
      <c r="C141" s="70"/>
      <c r="D141" s="70"/>
      <c r="E141" s="5"/>
      <c r="F141" s="70"/>
      <c r="G141" s="70"/>
      <c r="H141" s="70"/>
      <c r="I141" s="70"/>
      <c r="J141" s="70"/>
      <c r="K141" s="70"/>
      <c r="L141" s="70"/>
      <c r="M141" s="70"/>
      <c r="N141" s="70"/>
      <c r="O141" s="70"/>
      <c r="P141" s="70"/>
      <c r="Q141" s="70"/>
      <c r="R141" s="70"/>
      <c r="S141" s="70"/>
      <c r="T141" s="70"/>
      <c r="U141" s="70"/>
      <c r="V141" s="70"/>
      <c r="W141" s="70"/>
    </row>
    <row r="142" ht="14.25" customHeight="1">
      <c r="A142" s="70"/>
      <c r="B142" s="70"/>
      <c r="C142" s="70"/>
      <c r="D142" s="70"/>
      <c r="E142" s="5"/>
      <c r="F142" s="70"/>
      <c r="G142" s="70"/>
      <c r="H142" s="70"/>
      <c r="I142" s="70"/>
      <c r="J142" s="70"/>
      <c r="K142" s="70"/>
      <c r="L142" s="70"/>
      <c r="M142" s="70"/>
      <c r="N142" s="70"/>
      <c r="O142" s="70"/>
      <c r="P142" s="70"/>
      <c r="Q142" s="70"/>
      <c r="R142" s="70"/>
      <c r="S142" s="70"/>
      <c r="T142" s="70"/>
      <c r="U142" s="70"/>
      <c r="V142" s="70"/>
      <c r="W142" s="70"/>
    </row>
    <row r="143" ht="14.25" customHeight="1">
      <c r="A143" s="70"/>
      <c r="B143" s="70"/>
      <c r="C143" s="70"/>
      <c r="D143" s="70"/>
      <c r="E143" s="5"/>
      <c r="F143" s="70"/>
      <c r="G143" s="70"/>
      <c r="H143" s="70"/>
      <c r="I143" s="70"/>
      <c r="J143" s="70"/>
      <c r="K143" s="70"/>
      <c r="L143" s="70"/>
      <c r="M143" s="70"/>
      <c r="N143" s="70"/>
      <c r="O143" s="70"/>
      <c r="P143" s="70"/>
      <c r="Q143" s="70"/>
      <c r="R143" s="70"/>
      <c r="S143" s="70"/>
      <c r="T143" s="70"/>
      <c r="U143" s="70"/>
      <c r="V143" s="70"/>
      <c r="W143" s="70"/>
    </row>
    <row r="144" ht="14.25" customHeight="1">
      <c r="A144" s="70"/>
      <c r="B144" s="70"/>
      <c r="C144" s="70"/>
      <c r="D144" s="70"/>
      <c r="E144" s="5"/>
      <c r="F144" s="70"/>
      <c r="G144" s="70"/>
      <c r="H144" s="70"/>
      <c r="I144" s="70"/>
      <c r="J144" s="70"/>
      <c r="K144" s="70"/>
      <c r="L144" s="70"/>
      <c r="M144" s="70"/>
      <c r="N144" s="70"/>
      <c r="O144" s="70"/>
      <c r="P144" s="70"/>
      <c r="Q144" s="70"/>
      <c r="R144" s="70"/>
      <c r="S144" s="70"/>
      <c r="T144" s="70"/>
      <c r="U144" s="70"/>
      <c r="V144" s="70"/>
      <c r="W144" s="70"/>
    </row>
    <row r="145" ht="14.25" customHeight="1">
      <c r="A145" s="70"/>
      <c r="B145" s="70"/>
      <c r="C145" s="70"/>
      <c r="D145" s="70"/>
      <c r="E145" s="5"/>
      <c r="F145" s="70"/>
      <c r="G145" s="70"/>
      <c r="H145" s="70"/>
      <c r="I145" s="70"/>
      <c r="J145" s="70"/>
      <c r="K145" s="70"/>
      <c r="L145" s="70"/>
      <c r="M145" s="70"/>
      <c r="N145" s="70"/>
      <c r="O145" s="70"/>
      <c r="P145" s="70"/>
      <c r="Q145" s="70"/>
      <c r="R145" s="70"/>
      <c r="S145" s="70"/>
      <c r="T145" s="70"/>
      <c r="U145" s="70"/>
      <c r="V145" s="70"/>
      <c r="W145" s="70"/>
    </row>
    <row r="146" ht="14.25" customHeight="1">
      <c r="A146" s="70"/>
      <c r="B146" s="70"/>
      <c r="C146" s="70"/>
      <c r="D146" s="70"/>
      <c r="E146" s="5"/>
      <c r="F146" s="70"/>
      <c r="G146" s="70"/>
      <c r="H146" s="70"/>
      <c r="I146" s="70"/>
      <c r="J146" s="70"/>
      <c r="K146" s="70"/>
      <c r="L146" s="70"/>
      <c r="M146" s="70"/>
      <c r="N146" s="70"/>
      <c r="O146" s="70"/>
      <c r="P146" s="70"/>
      <c r="Q146" s="70"/>
      <c r="R146" s="70"/>
      <c r="S146" s="70"/>
      <c r="T146" s="70"/>
      <c r="U146" s="70"/>
      <c r="V146" s="70"/>
      <c r="W146" s="70"/>
    </row>
    <row r="147" ht="14.25" customHeight="1">
      <c r="A147" s="70"/>
      <c r="B147" s="70"/>
      <c r="C147" s="70"/>
      <c r="D147" s="70"/>
      <c r="E147" s="5"/>
      <c r="F147" s="70"/>
      <c r="G147" s="70"/>
      <c r="H147" s="70"/>
      <c r="I147" s="70"/>
      <c r="J147" s="70"/>
      <c r="K147" s="70"/>
      <c r="L147" s="70"/>
      <c r="M147" s="70"/>
      <c r="N147" s="70"/>
      <c r="O147" s="70"/>
      <c r="P147" s="70"/>
      <c r="Q147" s="70"/>
      <c r="R147" s="70"/>
      <c r="S147" s="70"/>
      <c r="T147" s="70"/>
      <c r="U147" s="70"/>
      <c r="V147" s="70"/>
      <c r="W147" s="70"/>
    </row>
    <row r="148" ht="14.25" customHeight="1">
      <c r="A148" s="70"/>
      <c r="B148" s="70"/>
      <c r="C148" s="70"/>
      <c r="D148" s="70"/>
      <c r="E148" s="5"/>
      <c r="F148" s="70"/>
      <c r="G148" s="70"/>
      <c r="H148" s="70"/>
      <c r="I148" s="70"/>
      <c r="J148" s="70"/>
      <c r="K148" s="70"/>
      <c r="L148" s="70"/>
      <c r="M148" s="70"/>
      <c r="N148" s="70"/>
      <c r="O148" s="70"/>
      <c r="P148" s="70"/>
      <c r="Q148" s="70"/>
      <c r="R148" s="70"/>
      <c r="S148" s="70"/>
      <c r="T148" s="70"/>
      <c r="U148" s="70"/>
      <c r="V148" s="70"/>
      <c r="W148" s="70"/>
    </row>
    <row r="149" ht="14.25" customHeight="1">
      <c r="A149" s="70"/>
      <c r="B149" s="70"/>
      <c r="C149" s="70"/>
      <c r="D149" s="70"/>
      <c r="E149" s="5"/>
      <c r="F149" s="70"/>
      <c r="G149" s="70"/>
      <c r="H149" s="70"/>
      <c r="I149" s="70"/>
      <c r="J149" s="70"/>
      <c r="K149" s="70"/>
      <c r="L149" s="70"/>
      <c r="M149" s="70"/>
      <c r="N149" s="70"/>
      <c r="O149" s="70"/>
      <c r="P149" s="70"/>
      <c r="Q149" s="70"/>
      <c r="R149" s="70"/>
      <c r="S149" s="70"/>
      <c r="T149" s="70"/>
      <c r="U149" s="70"/>
      <c r="V149" s="70"/>
      <c r="W149" s="70"/>
    </row>
    <row r="150" ht="14.25" customHeight="1">
      <c r="A150" s="70"/>
      <c r="B150" s="70"/>
      <c r="C150" s="70"/>
      <c r="D150" s="70"/>
      <c r="E150" s="5"/>
      <c r="F150" s="70"/>
      <c r="G150" s="70"/>
      <c r="H150" s="70"/>
      <c r="I150" s="70"/>
      <c r="J150" s="70"/>
      <c r="K150" s="70"/>
      <c r="L150" s="70"/>
      <c r="M150" s="70"/>
      <c r="N150" s="70"/>
      <c r="O150" s="70"/>
      <c r="P150" s="70"/>
      <c r="Q150" s="70"/>
      <c r="R150" s="70"/>
      <c r="S150" s="70"/>
      <c r="T150" s="70"/>
      <c r="U150" s="70"/>
      <c r="V150" s="70"/>
      <c r="W150" s="70"/>
    </row>
    <row r="151" ht="14.25" customHeight="1">
      <c r="A151" s="70"/>
      <c r="B151" s="70"/>
      <c r="C151" s="70"/>
      <c r="D151" s="70"/>
      <c r="E151" s="5"/>
      <c r="F151" s="70"/>
      <c r="G151" s="70"/>
      <c r="H151" s="70"/>
      <c r="I151" s="70"/>
      <c r="J151" s="70"/>
      <c r="K151" s="70"/>
      <c r="L151" s="70"/>
      <c r="M151" s="70"/>
      <c r="N151" s="70"/>
      <c r="O151" s="70"/>
      <c r="P151" s="70"/>
      <c r="Q151" s="70"/>
      <c r="R151" s="70"/>
      <c r="S151" s="70"/>
      <c r="T151" s="70"/>
      <c r="U151" s="70"/>
      <c r="V151" s="70"/>
      <c r="W151" s="70"/>
    </row>
    <row r="152" ht="14.25" customHeight="1">
      <c r="A152" s="70"/>
      <c r="B152" s="70"/>
      <c r="C152" s="70"/>
      <c r="D152" s="70"/>
      <c r="E152" s="5"/>
      <c r="F152" s="70"/>
      <c r="G152" s="70"/>
      <c r="H152" s="70"/>
      <c r="I152" s="70"/>
      <c r="J152" s="70"/>
      <c r="K152" s="70"/>
      <c r="L152" s="70"/>
      <c r="M152" s="70"/>
      <c r="N152" s="70"/>
      <c r="O152" s="70"/>
      <c r="P152" s="70"/>
      <c r="Q152" s="70"/>
      <c r="R152" s="70"/>
      <c r="S152" s="70"/>
      <c r="T152" s="70"/>
      <c r="U152" s="70"/>
      <c r="V152" s="70"/>
      <c r="W152" s="70"/>
    </row>
    <row r="153" ht="14.25" customHeight="1">
      <c r="A153" s="70"/>
      <c r="B153" s="70"/>
      <c r="C153" s="70"/>
      <c r="D153" s="70"/>
      <c r="E153" s="5"/>
      <c r="F153" s="70"/>
      <c r="G153" s="70"/>
      <c r="H153" s="70"/>
      <c r="I153" s="70"/>
      <c r="J153" s="70"/>
      <c r="K153" s="70"/>
      <c r="L153" s="70"/>
      <c r="M153" s="70"/>
      <c r="N153" s="70"/>
      <c r="O153" s="70"/>
      <c r="P153" s="70"/>
      <c r="Q153" s="70"/>
      <c r="R153" s="70"/>
      <c r="S153" s="70"/>
      <c r="T153" s="70"/>
      <c r="U153" s="70"/>
      <c r="V153" s="70"/>
      <c r="W153" s="70"/>
    </row>
    <row r="154" ht="14.25" customHeight="1">
      <c r="A154" s="70"/>
      <c r="B154" s="70"/>
      <c r="C154" s="70"/>
      <c r="D154" s="70"/>
      <c r="E154" s="5"/>
      <c r="F154" s="70"/>
      <c r="G154" s="70"/>
      <c r="H154" s="70"/>
      <c r="I154" s="70"/>
      <c r="J154" s="70"/>
      <c r="K154" s="70"/>
      <c r="L154" s="70"/>
      <c r="M154" s="70"/>
      <c r="N154" s="70"/>
      <c r="O154" s="70"/>
      <c r="P154" s="70"/>
      <c r="Q154" s="70"/>
      <c r="R154" s="70"/>
      <c r="S154" s="70"/>
      <c r="T154" s="70"/>
      <c r="U154" s="70"/>
      <c r="V154" s="70"/>
      <c r="W154" s="70"/>
    </row>
    <row r="155" ht="14.25" customHeight="1">
      <c r="A155" s="70"/>
      <c r="B155" s="70"/>
      <c r="C155" s="70"/>
      <c r="D155" s="70"/>
      <c r="E155" s="5"/>
      <c r="F155" s="70"/>
      <c r="G155" s="70"/>
      <c r="H155" s="70"/>
      <c r="I155" s="70"/>
      <c r="J155" s="70"/>
      <c r="K155" s="70"/>
      <c r="L155" s="70"/>
      <c r="M155" s="70"/>
      <c r="N155" s="70"/>
      <c r="O155" s="70"/>
      <c r="P155" s="70"/>
      <c r="Q155" s="70"/>
      <c r="R155" s="70"/>
      <c r="S155" s="70"/>
      <c r="T155" s="70"/>
      <c r="U155" s="70"/>
      <c r="V155" s="70"/>
      <c r="W155" s="70"/>
    </row>
    <row r="156" ht="14.25" customHeight="1">
      <c r="A156" s="70"/>
      <c r="B156" s="70"/>
      <c r="C156" s="70"/>
      <c r="D156" s="70"/>
      <c r="E156" s="5"/>
      <c r="F156" s="70"/>
      <c r="G156" s="70"/>
      <c r="H156" s="70"/>
      <c r="I156" s="70"/>
      <c r="J156" s="70"/>
      <c r="K156" s="70"/>
      <c r="L156" s="70"/>
      <c r="M156" s="70"/>
      <c r="N156" s="70"/>
      <c r="O156" s="70"/>
      <c r="P156" s="70"/>
      <c r="Q156" s="70"/>
      <c r="R156" s="70"/>
      <c r="S156" s="70"/>
      <c r="T156" s="70"/>
      <c r="U156" s="70"/>
      <c r="V156" s="70"/>
      <c r="W156" s="70"/>
    </row>
    <row r="157" ht="14.25" customHeight="1">
      <c r="A157" s="70"/>
      <c r="B157" s="70"/>
      <c r="C157" s="70"/>
      <c r="D157" s="70"/>
      <c r="E157" s="5"/>
      <c r="F157" s="70"/>
      <c r="G157" s="70"/>
      <c r="H157" s="70"/>
      <c r="I157" s="70"/>
      <c r="J157" s="70"/>
      <c r="K157" s="70"/>
      <c r="L157" s="70"/>
      <c r="M157" s="70"/>
      <c r="N157" s="70"/>
      <c r="O157" s="70"/>
      <c r="P157" s="70"/>
      <c r="Q157" s="70"/>
      <c r="R157" s="70"/>
      <c r="S157" s="70"/>
      <c r="T157" s="70"/>
      <c r="U157" s="70"/>
      <c r="V157" s="70"/>
      <c r="W157" s="70"/>
    </row>
    <row r="158" ht="14.25" customHeight="1">
      <c r="A158" s="70"/>
      <c r="B158" s="70"/>
      <c r="C158" s="70"/>
      <c r="D158" s="70"/>
      <c r="E158" s="5"/>
      <c r="F158" s="70"/>
      <c r="G158" s="70"/>
      <c r="H158" s="70"/>
      <c r="I158" s="70"/>
      <c r="J158" s="70"/>
      <c r="K158" s="70"/>
      <c r="L158" s="70"/>
      <c r="M158" s="70"/>
      <c r="N158" s="70"/>
      <c r="O158" s="70"/>
      <c r="P158" s="70"/>
      <c r="Q158" s="70"/>
      <c r="R158" s="70"/>
      <c r="S158" s="70"/>
      <c r="T158" s="70"/>
      <c r="U158" s="70"/>
      <c r="V158" s="70"/>
      <c r="W158" s="70"/>
    </row>
    <row r="159" ht="14.25" customHeight="1">
      <c r="A159" s="70"/>
      <c r="B159" s="70"/>
      <c r="C159" s="70"/>
      <c r="D159" s="70"/>
      <c r="E159" s="5"/>
      <c r="F159" s="70"/>
      <c r="G159" s="70"/>
      <c r="H159" s="70"/>
      <c r="I159" s="70"/>
      <c r="J159" s="70"/>
      <c r="K159" s="70"/>
      <c r="L159" s="70"/>
      <c r="M159" s="70"/>
      <c r="N159" s="70"/>
      <c r="O159" s="70"/>
      <c r="P159" s="70"/>
      <c r="Q159" s="70"/>
      <c r="R159" s="70"/>
      <c r="S159" s="70"/>
      <c r="T159" s="70"/>
      <c r="U159" s="70"/>
      <c r="V159" s="70"/>
      <c r="W159" s="70"/>
    </row>
    <row r="160" ht="14.25" customHeight="1">
      <c r="A160" s="70"/>
      <c r="B160" s="70"/>
      <c r="C160" s="70"/>
      <c r="D160" s="70"/>
      <c r="E160" s="5"/>
      <c r="F160" s="70"/>
      <c r="G160" s="70"/>
      <c r="H160" s="70"/>
      <c r="I160" s="70"/>
      <c r="J160" s="70"/>
      <c r="K160" s="70"/>
      <c r="L160" s="70"/>
      <c r="M160" s="70"/>
      <c r="N160" s="70"/>
      <c r="O160" s="70"/>
      <c r="P160" s="70"/>
      <c r="Q160" s="70"/>
      <c r="R160" s="70"/>
      <c r="S160" s="70"/>
      <c r="T160" s="70"/>
      <c r="U160" s="70"/>
      <c r="V160" s="70"/>
      <c r="W160" s="70"/>
    </row>
    <row r="161" ht="14.25" customHeight="1">
      <c r="A161" s="70"/>
      <c r="B161" s="70"/>
      <c r="C161" s="70"/>
      <c r="D161" s="70"/>
      <c r="E161" s="5"/>
      <c r="F161" s="70"/>
      <c r="G161" s="70"/>
      <c r="H161" s="70"/>
      <c r="I161" s="70"/>
      <c r="J161" s="70"/>
      <c r="K161" s="70"/>
      <c r="L161" s="70"/>
      <c r="M161" s="70"/>
      <c r="N161" s="70"/>
      <c r="O161" s="70"/>
      <c r="P161" s="70"/>
      <c r="Q161" s="70"/>
      <c r="R161" s="70"/>
      <c r="S161" s="70"/>
      <c r="T161" s="70"/>
      <c r="U161" s="70"/>
      <c r="V161" s="70"/>
      <c r="W161" s="70"/>
    </row>
    <row r="162" ht="14.25" customHeight="1">
      <c r="A162" s="70"/>
      <c r="B162" s="70"/>
      <c r="C162" s="70"/>
      <c r="D162" s="70"/>
      <c r="E162" s="5"/>
      <c r="F162" s="70"/>
      <c r="G162" s="70"/>
      <c r="H162" s="70"/>
      <c r="I162" s="70"/>
      <c r="J162" s="70"/>
      <c r="K162" s="70"/>
      <c r="L162" s="70"/>
      <c r="M162" s="70"/>
      <c r="N162" s="70"/>
      <c r="O162" s="70"/>
      <c r="P162" s="70"/>
      <c r="Q162" s="70"/>
      <c r="R162" s="70"/>
      <c r="S162" s="70"/>
      <c r="T162" s="70"/>
      <c r="U162" s="70"/>
      <c r="V162" s="70"/>
      <c r="W162" s="70"/>
    </row>
    <row r="163" ht="14.25" customHeight="1">
      <c r="A163" s="70"/>
      <c r="B163" s="70"/>
      <c r="C163" s="70"/>
      <c r="D163" s="70"/>
      <c r="E163" s="5"/>
      <c r="F163" s="70"/>
      <c r="G163" s="70"/>
      <c r="H163" s="70"/>
      <c r="I163" s="70"/>
      <c r="J163" s="70"/>
      <c r="K163" s="70"/>
      <c r="L163" s="70"/>
      <c r="M163" s="70"/>
      <c r="N163" s="70"/>
      <c r="O163" s="70"/>
      <c r="P163" s="70"/>
      <c r="Q163" s="70"/>
      <c r="R163" s="70"/>
      <c r="S163" s="70"/>
      <c r="T163" s="70"/>
      <c r="U163" s="70"/>
      <c r="V163" s="70"/>
      <c r="W163" s="70"/>
    </row>
    <row r="164" ht="14.25" customHeight="1">
      <c r="A164" s="70"/>
      <c r="B164" s="70"/>
      <c r="C164" s="70"/>
      <c r="D164" s="70"/>
      <c r="E164" s="5"/>
      <c r="F164" s="70"/>
      <c r="G164" s="70"/>
      <c r="H164" s="70"/>
      <c r="I164" s="70"/>
      <c r="J164" s="70"/>
      <c r="K164" s="70"/>
      <c r="L164" s="70"/>
      <c r="M164" s="70"/>
      <c r="N164" s="70"/>
      <c r="O164" s="70"/>
      <c r="P164" s="70"/>
      <c r="Q164" s="70"/>
      <c r="R164" s="70"/>
      <c r="S164" s="70"/>
      <c r="T164" s="70"/>
      <c r="U164" s="70"/>
      <c r="V164" s="70"/>
      <c r="W164" s="70"/>
    </row>
    <row r="165" ht="14.25" customHeight="1">
      <c r="A165" s="70"/>
      <c r="B165" s="70"/>
      <c r="C165" s="70"/>
      <c r="D165" s="70"/>
      <c r="E165" s="5"/>
      <c r="F165" s="70"/>
      <c r="G165" s="70"/>
      <c r="H165" s="70"/>
      <c r="I165" s="70"/>
      <c r="J165" s="70"/>
      <c r="K165" s="70"/>
      <c r="L165" s="70"/>
      <c r="M165" s="70"/>
      <c r="N165" s="70"/>
      <c r="O165" s="70"/>
      <c r="P165" s="70"/>
      <c r="Q165" s="70"/>
      <c r="R165" s="70"/>
      <c r="S165" s="70"/>
      <c r="T165" s="70"/>
      <c r="U165" s="70"/>
      <c r="V165" s="70"/>
      <c r="W165" s="70"/>
    </row>
    <row r="166" ht="14.25" customHeight="1">
      <c r="A166" s="70"/>
      <c r="B166" s="70"/>
      <c r="C166" s="70"/>
      <c r="D166" s="70"/>
      <c r="E166" s="5"/>
      <c r="F166" s="70"/>
      <c r="G166" s="70"/>
      <c r="H166" s="70"/>
      <c r="I166" s="70"/>
      <c r="J166" s="70"/>
      <c r="K166" s="70"/>
      <c r="L166" s="70"/>
      <c r="M166" s="70"/>
      <c r="N166" s="70"/>
      <c r="O166" s="70"/>
      <c r="P166" s="70"/>
      <c r="Q166" s="70"/>
      <c r="R166" s="70"/>
      <c r="S166" s="70"/>
      <c r="T166" s="70"/>
      <c r="U166" s="70"/>
      <c r="V166" s="70"/>
      <c r="W166" s="70"/>
    </row>
    <row r="167" ht="14.25" customHeight="1">
      <c r="A167" s="70"/>
      <c r="B167" s="70"/>
      <c r="C167" s="70"/>
      <c r="D167" s="70"/>
      <c r="E167" s="5"/>
      <c r="F167" s="70"/>
      <c r="G167" s="70"/>
      <c r="H167" s="70"/>
      <c r="I167" s="70"/>
      <c r="J167" s="70"/>
      <c r="K167" s="70"/>
      <c r="L167" s="70"/>
      <c r="M167" s="70"/>
      <c r="N167" s="70"/>
      <c r="O167" s="70"/>
      <c r="P167" s="70"/>
      <c r="Q167" s="70"/>
      <c r="R167" s="70"/>
      <c r="S167" s="70"/>
      <c r="T167" s="70"/>
      <c r="U167" s="70"/>
      <c r="V167" s="70"/>
      <c r="W167" s="70"/>
    </row>
    <row r="168" ht="14.25" customHeight="1">
      <c r="A168" s="70"/>
      <c r="B168" s="70"/>
      <c r="C168" s="70"/>
      <c r="D168" s="70"/>
      <c r="E168" s="5"/>
      <c r="F168" s="70"/>
      <c r="G168" s="70"/>
      <c r="H168" s="70"/>
      <c r="I168" s="70"/>
      <c r="J168" s="70"/>
      <c r="K168" s="70"/>
      <c r="L168" s="70"/>
      <c r="M168" s="70"/>
      <c r="N168" s="70"/>
      <c r="O168" s="70"/>
      <c r="P168" s="70"/>
      <c r="Q168" s="70"/>
      <c r="R168" s="70"/>
      <c r="S168" s="70"/>
      <c r="T168" s="70"/>
      <c r="U168" s="70"/>
      <c r="V168" s="70"/>
      <c r="W168" s="70"/>
    </row>
    <row r="169" ht="14.25" customHeight="1">
      <c r="A169" s="70"/>
      <c r="B169" s="70"/>
      <c r="C169" s="70"/>
      <c r="D169" s="70"/>
      <c r="E169" s="5"/>
      <c r="F169" s="70"/>
      <c r="G169" s="70"/>
      <c r="H169" s="70"/>
      <c r="I169" s="70"/>
      <c r="J169" s="70"/>
      <c r="K169" s="70"/>
      <c r="L169" s="70"/>
      <c r="M169" s="70"/>
      <c r="N169" s="70"/>
      <c r="O169" s="70"/>
      <c r="P169" s="70"/>
      <c r="Q169" s="70"/>
      <c r="R169" s="70"/>
      <c r="S169" s="70"/>
      <c r="T169" s="70"/>
      <c r="U169" s="70"/>
      <c r="V169" s="70"/>
      <c r="W169" s="70"/>
    </row>
    <row r="170" ht="14.25" customHeight="1">
      <c r="A170" s="70"/>
      <c r="B170" s="70"/>
      <c r="C170" s="70"/>
      <c r="D170" s="70"/>
      <c r="E170" s="5"/>
      <c r="F170" s="70"/>
      <c r="G170" s="70"/>
      <c r="H170" s="70"/>
      <c r="I170" s="70"/>
      <c r="J170" s="70"/>
      <c r="K170" s="70"/>
      <c r="L170" s="70"/>
      <c r="M170" s="70"/>
      <c r="N170" s="70"/>
      <c r="O170" s="70"/>
      <c r="P170" s="70"/>
      <c r="Q170" s="70"/>
      <c r="R170" s="70"/>
      <c r="S170" s="70"/>
      <c r="T170" s="70"/>
      <c r="U170" s="70"/>
      <c r="V170" s="70"/>
      <c r="W170" s="70"/>
    </row>
    <row r="171" ht="14.25" customHeight="1">
      <c r="A171" s="70"/>
      <c r="B171" s="70"/>
      <c r="C171" s="70"/>
      <c r="D171" s="70"/>
      <c r="E171" s="5"/>
      <c r="F171" s="70"/>
      <c r="G171" s="70"/>
      <c r="H171" s="70"/>
      <c r="I171" s="70"/>
      <c r="J171" s="70"/>
      <c r="K171" s="70"/>
      <c r="L171" s="70"/>
      <c r="M171" s="70"/>
      <c r="N171" s="70"/>
      <c r="O171" s="70"/>
      <c r="P171" s="70"/>
      <c r="Q171" s="70"/>
      <c r="R171" s="70"/>
      <c r="S171" s="70"/>
      <c r="T171" s="70"/>
      <c r="U171" s="70"/>
      <c r="V171" s="70"/>
      <c r="W171" s="70"/>
    </row>
    <row r="172" ht="14.25" customHeight="1">
      <c r="A172" s="70"/>
      <c r="B172" s="70"/>
      <c r="C172" s="70"/>
      <c r="D172" s="70"/>
      <c r="E172" s="5"/>
      <c r="F172" s="70"/>
      <c r="G172" s="70"/>
      <c r="H172" s="70"/>
      <c r="I172" s="70"/>
      <c r="J172" s="70"/>
      <c r="K172" s="70"/>
      <c r="L172" s="70"/>
      <c r="M172" s="70"/>
      <c r="N172" s="70"/>
      <c r="O172" s="70"/>
      <c r="P172" s="70"/>
      <c r="Q172" s="70"/>
      <c r="R172" s="70"/>
      <c r="S172" s="70"/>
      <c r="T172" s="70"/>
      <c r="U172" s="70"/>
      <c r="V172" s="70"/>
      <c r="W172" s="70"/>
    </row>
    <row r="173" ht="14.25" customHeight="1">
      <c r="A173" s="70"/>
      <c r="B173" s="70"/>
      <c r="C173" s="70"/>
      <c r="D173" s="70"/>
      <c r="E173" s="5"/>
      <c r="F173" s="70"/>
      <c r="G173" s="70"/>
      <c r="H173" s="70"/>
      <c r="I173" s="70"/>
      <c r="J173" s="70"/>
      <c r="K173" s="70"/>
      <c r="L173" s="70"/>
      <c r="M173" s="70"/>
      <c r="N173" s="70"/>
      <c r="O173" s="70"/>
      <c r="P173" s="70"/>
      <c r="Q173" s="70"/>
      <c r="R173" s="70"/>
      <c r="S173" s="70"/>
      <c r="T173" s="70"/>
      <c r="U173" s="70"/>
      <c r="V173" s="70"/>
      <c r="W173" s="70"/>
    </row>
    <row r="174" ht="14.25" customHeight="1">
      <c r="A174" s="70"/>
      <c r="B174" s="70"/>
      <c r="C174" s="70"/>
      <c r="D174" s="70"/>
      <c r="E174" s="5"/>
      <c r="F174" s="70"/>
      <c r="G174" s="70"/>
      <c r="H174" s="70"/>
      <c r="I174" s="70"/>
      <c r="J174" s="70"/>
      <c r="K174" s="70"/>
      <c r="L174" s="70"/>
      <c r="M174" s="70"/>
      <c r="N174" s="70"/>
      <c r="O174" s="70"/>
      <c r="P174" s="70"/>
      <c r="Q174" s="70"/>
      <c r="R174" s="70"/>
      <c r="S174" s="70"/>
      <c r="T174" s="70"/>
      <c r="U174" s="70"/>
      <c r="V174" s="70"/>
      <c r="W174" s="70"/>
    </row>
    <row r="175" ht="14.25" customHeight="1">
      <c r="A175" s="70"/>
      <c r="B175" s="70"/>
      <c r="C175" s="70"/>
      <c r="D175" s="70"/>
      <c r="E175" s="5"/>
      <c r="F175" s="70"/>
      <c r="G175" s="70"/>
      <c r="H175" s="70"/>
      <c r="I175" s="70"/>
      <c r="J175" s="70"/>
      <c r="K175" s="70"/>
      <c r="L175" s="70"/>
      <c r="M175" s="70"/>
      <c r="N175" s="70"/>
      <c r="O175" s="70"/>
      <c r="P175" s="70"/>
      <c r="Q175" s="70"/>
      <c r="R175" s="70"/>
      <c r="S175" s="70"/>
      <c r="T175" s="70"/>
      <c r="U175" s="70"/>
      <c r="V175" s="70"/>
      <c r="W175" s="70"/>
    </row>
    <row r="176" ht="14.25" customHeight="1">
      <c r="A176" s="70"/>
      <c r="B176" s="70"/>
      <c r="C176" s="70"/>
      <c r="D176" s="70"/>
      <c r="E176" s="5"/>
      <c r="F176" s="70"/>
      <c r="G176" s="70"/>
      <c r="H176" s="70"/>
      <c r="I176" s="70"/>
      <c r="J176" s="70"/>
      <c r="K176" s="70"/>
      <c r="L176" s="70"/>
      <c r="M176" s="70"/>
      <c r="N176" s="70"/>
      <c r="O176" s="70"/>
      <c r="P176" s="70"/>
      <c r="Q176" s="70"/>
      <c r="R176" s="70"/>
      <c r="S176" s="70"/>
      <c r="T176" s="70"/>
      <c r="U176" s="70"/>
      <c r="V176" s="70"/>
      <c r="W176" s="70"/>
    </row>
    <row r="177" ht="14.25" customHeight="1">
      <c r="A177" s="70"/>
      <c r="B177" s="70"/>
      <c r="C177" s="70"/>
      <c r="D177" s="70"/>
      <c r="E177" s="5"/>
      <c r="F177" s="70"/>
      <c r="G177" s="70"/>
      <c r="H177" s="70"/>
      <c r="I177" s="70"/>
      <c r="J177" s="70"/>
      <c r="K177" s="70"/>
      <c r="L177" s="70"/>
      <c r="M177" s="70"/>
      <c r="N177" s="70"/>
      <c r="O177" s="70"/>
      <c r="P177" s="70"/>
      <c r="Q177" s="70"/>
      <c r="R177" s="70"/>
      <c r="S177" s="70"/>
      <c r="T177" s="70"/>
      <c r="U177" s="70"/>
      <c r="V177" s="70"/>
      <c r="W177" s="70"/>
    </row>
    <row r="178" ht="14.25" customHeight="1">
      <c r="A178" s="70"/>
      <c r="B178" s="70"/>
      <c r="C178" s="70"/>
      <c r="D178" s="70"/>
      <c r="E178" s="5"/>
      <c r="F178" s="70"/>
      <c r="G178" s="70"/>
      <c r="H178" s="70"/>
      <c r="I178" s="70"/>
      <c r="J178" s="70"/>
      <c r="K178" s="70"/>
      <c r="L178" s="70"/>
      <c r="M178" s="70"/>
      <c r="N178" s="70"/>
      <c r="O178" s="70"/>
      <c r="P178" s="70"/>
      <c r="Q178" s="70"/>
      <c r="R178" s="70"/>
      <c r="S178" s="70"/>
      <c r="T178" s="70"/>
      <c r="U178" s="70"/>
      <c r="V178" s="70"/>
      <c r="W178" s="70"/>
    </row>
    <row r="179" ht="14.25" customHeight="1">
      <c r="A179" s="70"/>
      <c r="B179" s="70"/>
      <c r="C179" s="70"/>
      <c r="D179" s="70"/>
      <c r="E179" s="5"/>
      <c r="F179" s="70"/>
      <c r="G179" s="70"/>
      <c r="H179" s="70"/>
      <c r="I179" s="70"/>
      <c r="J179" s="70"/>
      <c r="K179" s="70"/>
      <c r="L179" s="70"/>
      <c r="M179" s="70"/>
      <c r="N179" s="70"/>
      <c r="O179" s="70"/>
      <c r="P179" s="70"/>
      <c r="Q179" s="70"/>
      <c r="R179" s="70"/>
      <c r="S179" s="70"/>
      <c r="T179" s="70"/>
      <c r="U179" s="70"/>
      <c r="V179" s="70"/>
      <c r="W179" s="70"/>
    </row>
    <row r="180" ht="14.25" customHeight="1">
      <c r="A180" s="70"/>
      <c r="B180" s="70"/>
      <c r="C180" s="70"/>
      <c r="D180" s="70"/>
      <c r="E180" s="5"/>
      <c r="F180" s="70"/>
      <c r="G180" s="70"/>
      <c r="H180" s="70"/>
      <c r="I180" s="70"/>
      <c r="J180" s="70"/>
      <c r="K180" s="70"/>
      <c r="L180" s="70"/>
      <c r="M180" s="70"/>
      <c r="N180" s="70"/>
      <c r="O180" s="70"/>
      <c r="P180" s="70"/>
      <c r="Q180" s="70"/>
      <c r="R180" s="70"/>
      <c r="S180" s="70"/>
      <c r="T180" s="70"/>
      <c r="U180" s="70"/>
      <c r="V180" s="70"/>
      <c r="W180" s="70"/>
    </row>
    <row r="181" ht="14.25" customHeight="1">
      <c r="A181" s="70"/>
      <c r="B181" s="70"/>
      <c r="C181" s="70"/>
      <c r="D181" s="70"/>
      <c r="E181" s="5"/>
      <c r="F181" s="70"/>
      <c r="G181" s="70"/>
      <c r="H181" s="70"/>
      <c r="I181" s="70"/>
      <c r="J181" s="70"/>
      <c r="K181" s="70"/>
      <c r="L181" s="70"/>
      <c r="M181" s="70"/>
      <c r="N181" s="70"/>
      <c r="O181" s="70"/>
      <c r="P181" s="70"/>
      <c r="Q181" s="70"/>
      <c r="R181" s="70"/>
      <c r="S181" s="70"/>
      <c r="T181" s="70"/>
      <c r="U181" s="70"/>
      <c r="V181" s="70"/>
      <c r="W181" s="70"/>
    </row>
    <row r="182" ht="14.25" customHeight="1">
      <c r="A182" s="70"/>
      <c r="B182" s="70"/>
      <c r="C182" s="70"/>
      <c r="D182" s="70"/>
      <c r="E182" s="5"/>
      <c r="F182" s="70"/>
      <c r="G182" s="70"/>
      <c r="H182" s="70"/>
      <c r="I182" s="70"/>
      <c r="J182" s="70"/>
      <c r="K182" s="70"/>
      <c r="L182" s="70"/>
      <c r="M182" s="70"/>
      <c r="N182" s="70"/>
      <c r="O182" s="70"/>
      <c r="P182" s="70"/>
      <c r="Q182" s="70"/>
      <c r="R182" s="70"/>
      <c r="S182" s="70"/>
      <c r="T182" s="70"/>
      <c r="U182" s="70"/>
      <c r="V182" s="70"/>
      <c r="W182" s="70"/>
    </row>
    <row r="183" ht="14.25" customHeight="1">
      <c r="A183" s="70"/>
      <c r="B183" s="70"/>
      <c r="C183" s="70"/>
      <c r="D183" s="70"/>
      <c r="E183" s="5"/>
      <c r="F183" s="70"/>
      <c r="G183" s="70"/>
      <c r="H183" s="70"/>
      <c r="I183" s="70"/>
      <c r="J183" s="70"/>
      <c r="K183" s="70"/>
      <c r="L183" s="70"/>
      <c r="M183" s="70"/>
      <c r="N183" s="70"/>
      <c r="O183" s="70"/>
      <c r="P183" s="70"/>
      <c r="Q183" s="70"/>
      <c r="R183" s="70"/>
      <c r="S183" s="70"/>
      <c r="T183" s="70"/>
      <c r="U183" s="70"/>
      <c r="V183" s="70"/>
      <c r="W183" s="70"/>
    </row>
    <row r="184" ht="14.25" customHeight="1">
      <c r="A184" s="70"/>
      <c r="B184" s="70"/>
      <c r="C184" s="70"/>
      <c r="D184" s="70"/>
      <c r="E184" s="5"/>
      <c r="F184" s="70"/>
      <c r="G184" s="70"/>
      <c r="H184" s="70"/>
      <c r="I184" s="70"/>
      <c r="J184" s="70"/>
      <c r="K184" s="70"/>
      <c r="L184" s="70"/>
      <c r="M184" s="70"/>
      <c r="N184" s="70"/>
      <c r="O184" s="70"/>
      <c r="P184" s="70"/>
      <c r="Q184" s="70"/>
      <c r="R184" s="70"/>
      <c r="S184" s="70"/>
      <c r="T184" s="70"/>
      <c r="U184" s="70"/>
      <c r="V184" s="70"/>
      <c r="W184" s="70"/>
    </row>
    <row r="185" ht="14.25" customHeight="1">
      <c r="A185" s="70"/>
      <c r="B185" s="70"/>
      <c r="C185" s="70"/>
      <c r="D185" s="70"/>
      <c r="E185" s="5"/>
      <c r="F185" s="70"/>
      <c r="G185" s="70"/>
      <c r="H185" s="70"/>
      <c r="I185" s="70"/>
      <c r="J185" s="70"/>
      <c r="K185" s="70"/>
      <c r="L185" s="70"/>
      <c r="M185" s="70"/>
      <c r="N185" s="70"/>
      <c r="O185" s="70"/>
      <c r="P185" s="70"/>
      <c r="Q185" s="70"/>
      <c r="R185" s="70"/>
      <c r="S185" s="70"/>
      <c r="T185" s="70"/>
      <c r="U185" s="70"/>
      <c r="V185" s="70"/>
      <c r="W185" s="70"/>
    </row>
    <row r="186" ht="14.25" customHeight="1">
      <c r="A186" s="70"/>
      <c r="B186" s="70"/>
      <c r="C186" s="70"/>
      <c r="D186" s="70"/>
      <c r="E186" s="5"/>
      <c r="F186" s="70"/>
      <c r="G186" s="70"/>
      <c r="H186" s="70"/>
      <c r="I186" s="70"/>
      <c r="J186" s="70"/>
      <c r="K186" s="70"/>
      <c r="L186" s="70"/>
      <c r="M186" s="70"/>
      <c r="N186" s="70"/>
      <c r="O186" s="70"/>
      <c r="P186" s="70"/>
      <c r="Q186" s="70"/>
      <c r="R186" s="70"/>
      <c r="S186" s="70"/>
      <c r="T186" s="70"/>
      <c r="U186" s="70"/>
      <c r="V186" s="70"/>
      <c r="W186" s="70"/>
    </row>
    <row r="187" ht="14.25" customHeight="1">
      <c r="A187" s="70"/>
      <c r="B187" s="70"/>
      <c r="C187" s="70"/>
      <c r="D187" s="70"/>
      <c r="E187" s="5"/>
      <c r="F187" s="70"/>
      <c r="G187" s="70"/>
      <c r="H187" s="70"/>
      <c r="I187" s="70"/>
      <c r="J187" s="70"/>
      <c r="K187" s="70"/>
      <c r="L187" s="70"/>
      <c r="M187" s="70"/>
      <c r="N187" s="70"/>
      <c r="O187" s="70"/>
      <c r="P187" s="70"/>
      <c r="Q187" s="70"/>
      <c r="R187" s="70"/>
      <c r="S187" s="70"/>
      <c r="T187" s="70"/>
      <c r="U187" s="70"/>
      <c r="V187" s="70"/>
      <c r="W187" s="70"/>
    </row>
    <row r="188" ht="14.25" customHeight="1">
      <c r="A188" s="70"/>
      <c r="B188" s="70"/>
      <c r="C188" s="70"/>
      <c r="D188" s="70"/>
      <c r="E188" s="5"/>
      <c r="F188" s="70"/>
      <c r="G188" s="70"/>
      <c r="H188" s="70"/>
      <c r="I188" s="70"/>
      <c r="J188" s="70"/>
      <c r="K188" s="70"/>
      <c r="L188" s="70"/>
      <c r="M188" s="70"/>
      <c r="N188" s="70"/>
      <c r="O188" s="70"/>
      <c r="P188" s="70"/>
      <c r="Q188" s="70"/>
      <c r="R188" s="70"/>
      <c r="S188" s="70"/>
      <c r="T188" s="70"/>
      <c r="U188" s="70"/>
      <c r="V188" s="70"/>
      <c r="W188" s="70"/>
    </row>
    <row r="189" ht="14.25" customHeight="1">
      <c r="A189" s="70"/>
      <c r="B189" s="70"/>
      <c r="C189" s="70"/>
      <c r="D189" s="70"/>
      <c r="E189" s="5"/>
      <c r="F189" s="70"/>
      <c r="G189" s="70"/>
      <c r="H189" s="70"/>
      <c r="I189" s="70"/>
      <c r="J189" s="70"/>
      <c r="K189" s="70"/>
      <c r="L189" s="70"/>
      <c r="M189" s="70"/>
      <c r="N189" s="70"/>
      <c r="O189" s="70"/>
      <c r="P189" s="70"/>
      <c r="Q189" s="70"/>
      <c r="R189" s="70"/>
      <c r="S189" s="70"/>
      <c r="T189" s="70"/>
      <c r="U189" s="70"/>
      <c r="V189" s="70"/>
      <c r="W189" s="70"/>
    </row>
    <row r="190" ht="14.25" customHeight="1">
      <c r="A190" s="70"/>
      <c r="B190" s="70"/>
      <c r="C190" s="70"/>
      <c r="D190" s="70"/>
      <c r="E190" s="5"/>
      <c r="F190" s="70"/>
      <c r="G190" s="70"/>
      <c r="H190" s="70"/>
      <c r="I190" s="70"/>
      <c r="J190" s="70"/>
      <c r="K190" s="70"/>
      <c r="L190" s="70"/>
      <c r="M190" s="70"/>
      <c r="N190" s="70"/>
      <c r="O190" s="70"/>
      <c r="P190" s="70"/>
      <c r="Q190" s="70"/>
      <c r="R190" s="70"/>
      <c r="S190" s="70"/>
      <c r="T190" s="70"/>
      <c r="U190" s="70"/>
      <c r="V190" s="70"/>
      <c r="W190" s="70"/>
    </row>
    <row r="191" ht="14.25" customHeight="1">
      <c r="A191" s="70"/>
      <c r="B191" s="70"/>
      <c r="C191" s="70"/>
      <c r="D191" s="70"/>
      <c r="E191" s="5"/>
      <c r="F191" s="70"/>
      <c r="G191" s="70"/>
      <c r="H191" s="70"/>
      <c r="I191" s="70"/>
      <c r="J191" s="70"/>
      <c r="K191" s="70"/>
      <c r="L191" s="70"/>
      <c r="M191" s="70"/>
      <c r="N191" s="70"/>
      <c r="O191" s="70"/>
      <c r="P191" s="70"/>
      <c r="Q191" s="70"/>
      <c r="R191" s="70"/>
      <c r="S191" s="70"/>
      <c r="T191" s="70"/>
      <c r="U191" s="70"/>
      <c r="V191" s="70"/>
      <c r="W191" s="70"/>
    </row>
    <row r="192" ht="14.25" customHeight="1">
      <c r="A192" s="70"/>
      <c r="B192" s="70"/>
      <c r="C192" s="70"/>
      <c r="D192" s="70"/>
      <c r="E192" s="5"/>
      <c r="F192" s="70"/>
      <c r="G192" s="70"/>
      <c r="H192" s="70"/>
      <c r="I192" s="70"/>
      <c r="J192" s="70"/>
      <c r="K192" s="70"/>
      <c r="L192" s="70"/>
      <c r="M192" s="70"/>
      <c r="N192" s="70"/>
      <c r="O192" s="70"/>
      <c r="P192" s="70"/>
      <c r="Q192" s="70"/>
      <c r="R192" s="70"/>
      <c r="S192" s="70"/>
      <c r="T192" s="70"/>
      <c r="U192" s="70"/>
      <c r="V192" s="70"/>
      <c r="W192" s="70"/>
    </row>
    <row r="193" ht="14.25" customHeight="1">
      <c r="A193" s="70"/>
      <c r="B193" s="70"/>
      <c r="C193" s="70"/>
      <c r="D193" s="70"/>
      <c r="E193" s="5"/>
      <c r="F193" s="70"/>
      <c r="G193" s="70"/>
      <c r="H193" s="70"/>
      <c r="I193" s="70"/>
      <c r="J193" s="70"/>
      <c r="K193" s="70"/>
      <c r="L193" s="70"/>
      <c r="M193" s="70"/>
      <c r="N193" s="70"/>
      <c r="O193" s="70"/>
      <c r="P193" s="70"/>
      <c r="Q193" s="70"/>
      <c r="R193" s="70"/>
      <c r="S193" s="70"/>
      <c r="T193" s="70"/>
      <c r="U193" s="70"/>
      <c r="V193" s="70"/>
      <c r="W193" s="70"/>
    </row>
    <row r="194" ht="14.25" customHeight="1">
      <c r="A194" s="70"/>
      <c r="B194" s="70"/>
      <c r="C194" s="70"/>
      <c r="D194" s="70"/>
      <c r="E194" s="5"/>
      <c r="F194" s="70"/>
      <c r="G194" s="70"/>
      <c r="H194" s="70"/>
      <c r="I194" s="70"/>
      <c r="J194" s="70"/>
      <c r="K194" s="70"/>
      <c r="L194" s="70"/>
      <c r="M194" s="70"/>
      <c r="N194" s="70"/>
      <c r="O194" s="70"/>
      <c r="P194" s="70"/>
      <c r="Q194" s="70"/>
      <c r="R194" s="70"/>
      <c r="S194" s="70"/>
      <c r="T194" s="70"/>
      <c r="U194" s="70"/>
      <c r="V194" s="70"/>
      <c r="W194" s="70"/>
    </row>
    <row r="195" ht="14.25" customHeight="1">
      <c r="A195" s="70"/>
      <c r="B195" s="70"/>
      <c r="C195" s="70"/>
      <c r="D195" s="70"/>
      <c r="E195" s="5"/>
      <c r="F195" s="70"/>
      <c r="G195" s="70"/>
      <c r="H195" s="70"/>
      <c r="I195" s="70"/>
      <c r="J195" s="70"/>
      <c r="K195" s="70"/>
      <c r="L195" s="70"/>
      <c r="M195" s="70"/>
      <c r="N195" s="70"/>
      <c r="O195" s="70"/>
      <c r="P195" s="70"/>
      <c r="Q195" s="70"/>
      <c r="R195" s="70"/>
      <c r="S195" s="70"/>
      <c r="T195" s="70"/>
      <c r="U195" s="70"/>
      <c r="V195" s="70"/>
      <c r="W195" s="70"/>
    </row>
    <row r="196" ht="14.25" customHeight="1">
      <c r="A196" s="70"/>
      <c r="B196" s="70"/>
      <c r="C196" s="70"/>
      <c r="D196" s="70"/>
      <c r="E196" s="5"/>
      <c r="F196" s="70"/>
      <c r="G196" s="70"/>
      <c r="H196" s="70"/>
      <c r="I196" s="70"/>
      <c r="J196" s="70"/>
      <c r="K196" s="70"/>
      <c r="L196" s="70"/>
      <c r="M196" s="70"/>
      <c r="N196" s="70"/>
      <c r="O196" s="70"/>
      <c r="P196" s="70"/>
      <c r="Q196" s="70"/>
      <c r="R196" s="70"/>
      <c r="S196" s="70"/>
      <c r="T196" s="70"/>
      <c r="U196" s="70"/>
      <c r="V196" s="70"/>
      <c r="W196" s="70"/>
    </row>
    <row r="197" ht="14.25" customHeight="1">
      <c r="A197" s="70"/>
      <c r="B197" s="70"/>
      <c r="C197" s="70"/>
      <c r="D197" s="70"/>
      <c r="E197" s="5"/>
      <c r="F197" s="70"/>
      <c r="G197" s="70"/>
      <c r="H197" s="70"/>
      <c r="I197" s="70"/>
      <c r="J197" s="70"/>
      <c r="K197" s="70"/>
      <c r="L197" s="70"/>
      <c r="M197" s="70"/>
      <c r="N197" s="70"/>
      <c r="O197" s="70"/>
      <c r="P197" s="70"/>
      <c r="Q197" s="70"/>
      <c r="R197" s="70"/>
      <c r="S197" s="70"/>
      <c r="T197" s="70"/>
      <c r="U197" s="70"/>
      <c r="V197" s="70"/>
      <c r="W197" s="70"/>
    </row>
    <row r="198" ht="14.25" customHeight="1">
      <c r="A198" s="70"/>
      <c r="B198" s="70"/>
      <c r="C198" s="70"/>
      <c r="D198" s="70"/>
      <c r="E198" s="5"/>
      <c r="F198" s="70"/>
      <c r="G198" s="70"/>
      <c r="H198" s="70"/>
      <c r="I198" s="70"/>
      <c r="J198" s="70"/>
      <c r="K198" s="70"/>
      <c r="L198" s="70"/>
      <c r="M198" s="70"/>
      <c r="N198" s="70"/>
      <c r="O198" s="70"/>
      <c r="P198" s="70"/>
      <c r="Q198" s="70"/>
      <c r="R198" s="70"/>
      <c r="S198" s="70"/>
      <c r="T198" s="70"/>
      <c r="U198" s="70"/>
      <c r="V198" s="70"/>
      <c r="W198" s="70"/>
    </row>
    <row r="199" ht="14.25" customHeight="1">
      <c r="A199" s="70"/>
      <c r="B199" s="70"/>
      <c r="C199" s="70"/>
      <c r="D199" s="70"/>
      <c r="E199" s="5"/>
      <c r="F199" s="70"/>
      <c r="G199" s="70"/>
      <c r="H199" s="70"/>
      <c r="I199" s="70"/>
      <c r="J199" s="70"/>
      <c r="K199" s="70"/>
      <c r="L199" s="70"/>
      <c r="M199" s="70"/>
      <c r="N199" s="70"/>
      <c r="O199" s="70"/>
      <c r="P199" s="70"/>
      <c r="Q199" s="70"/>
      <c r="R199" s="70"/>
      <c r="S199" s="70"/>
      <c r="T199" s="70"/>
      <c r="U199" s="70"/>
      <c r="V199" s="70"/>
      <c r="W199" s="70"/>
    </row>
    <row r="200" ht="14.25" customHeight="1">
      <c r="A200" s="70"/>
      <c r="B200" s="70"/>
      <c r="C200" s="70"/>
      <c r="D200" s="70"/>
      <c r="E200" s="5"/>
      <c r="F200" s="70"/>
      <c r="G200" s="70"/>
      <c r="H200" s="70"/>
      <c r="I200" s="70"/>
      <c r="J200" s="70"/>
      <c r="K200" s="70"/>
      <c r="L200" s="70"/>
      <c r="M200" s="70"/>
      <c r="N200" s="70"/>
      <c r="O200" s="70"/>
      <c r="P200" s="70"/>
      <c r="Q200" s="70"/>
      <c r="R200" s="70"/>
      <c r="S200" s="70"/>
      <c r="T200" s="70"/>
      <c r="U200" s="70"/>
      <c r="V200" s="70"/>
      <c r="W200" s="70"/>
    </row>
    <row r="201" ht="14.25" customHeight="1">
      <c r="A201" s="70"/>
      <c r="B201" s="70"/>
      <c r="C201" s="70"/>
      <c r="D201" s="70"/>
      <c r="E201" s="5"/>
      <c r="F201" s="70"/>
      <c r="G201" s="70"/>
      <c r="H201" s="70"/>
      <c r="I201" s="70"/>
      <c r="J201" s="70"/>
      <c r="K201" s="70"/>
      <c r="L201" s="70"/>
      <c r="M201" s="70"/>
      <c r="N201" s="70"/>
      <c r="O201" s="70"/>
      <c r="P201" s="70"/>
      <c r="Q201" s="70"/>
      <c r="R201" s="70"/>
      <c r="S201" s="70"/>
      <c r="T201" s="70"/>
      <c r="U201" s="70"/>
      <c r="V201" s="70"/>
      <c r="W201" s="70"/>
    </row>
    <row r="202" ht="14.25" customHeight="1">
      <c r="A202" s="70"/>
      <c r="B202" s="70"/>
      <c r="C202" s="70"/>
      <c r="D202" s="70"/>
      <c r="E202" s="5"/>
      <c r="F202" s="70"/>
      <c r="G202" s="70"/>
      <c r="H202" s="70"/>
      <c r="I202" s="70"/>
      <c r="J202" s="70"/>
      <c r="K202" s="70"/>
      <c r="L202" s="70"/>
      <c r="M202" s="70"/>
      <c r="N202" s="70"/>
      <c r="O202" s="70"/>
      <c r="P202" s="70"/>
      <c r="Q202" s="70"/>
      <c r="R202" s="70"/>
      <c r="S202" s="70"/>
      <c r="T202" s="70"/>
      <c r="U202" s="70"/>
      <c r="V202" s="70"/>
      <c r="W202" s="70"/>
    </row>
    <row r="203" ht="14.25" customHeight="1">
      <c r="A203" s="70"/>
      <c r="B203" s="70"/>
      <c r="C203" s="70"/>
      <c r="D203" s="70"/>
      <c r="E203" s="5"/>
      <c r="F203" s="70"/>
      <c r="G203" s="70"/>
      <c r="H203" s="70"/>
      <c r="I203" s="70"/>
      <c r="J203" s="70"/>
      <c r="K203" s="70"/>
      <c r="L203" s="70"/>
      <c r="M203" s="70"/>
      <c r="N203" s="70"/>
      <c r="O203" s="70"/>
      <c r="P203" s="70"/>
      <c r="Q203" s="70"/>
      <c r="R203" s="70"/>
      <c r="S203" s="70"/>
      <c r="T203" s="70"/>
      <c r="U203" s="70"/>
      <c r="V203" s="70"/>
      <c r="W203" s="70"/>
    </row>
    <row r="204" ht="14.25" customHeight="1">
      <c r="A204" s="70"/>
      <c r="B204" s="70"/>
      <c r="C204" s="70"/>
      <c r="D204" s="70"/>
      <c r="E204" s="5"/>
      <c r="F204" s="70"/>
      <c r="G204" s="70"/>
      <c r="H204" s="70"/>
      <c r="I204" s="70"/>
      <c r="J204" s="70"/>
      <c r="K204" s="70"/>
      <c r="L204" s="70"/>
      <c r="M204" s="70"/>
      <c r="N204" s="70"/>
      <c r="O204" s="70"/>
      <c r="P204" s="70"/>
      <c r="Q204" s="70"/>
      <c r="R204" s="70"/>
      <c r="S204" s="70"/>
      <c r="T204" s="70"/>
      <c r="U204" s="70"/>
      <c r="V204" s="70"/>
      <c r="W204" s="70"/>
    </row>
    <row r="205" ht="14.25" customHeight="1">
      <c r="A205" s="70"/>
      <c r="B205" s="70"/>
      <c r="C205" s="70"/>
      <c r="D205" s="70"/>
      <c r="E205" s="5"/>
      <c r="F205" s="70"/>
      <c r="G205" s="70"/>
      <c r="H205" s="70"/>
      <c r="I205" s="70"/>
      <c r="J205" s="70"/>
      <c r="K205" s="70"/>
      <c r="L205" s="70"/>
      <c r="M205" s="70"/>
      <c r="N205" s="70"/>
      <c r="O205" s="70"/>
      <c r="P205" s="70"/>
      <c r="Q205" s="70"/>
      <c r="R205" s="70"/>
      <c r="S205" s="70"/>
      <c r="T205" s="70"/>
      <c r="U205" s="70"/>
      <c r="V205" s="70"/>
      <c r="W205" s="70"/>
    </row>
    <row r="206" ht="14.25" customHeight="1">
      <c r="A206" s="70"/>
      <c r="B206" s="70"/>
      <c r="C206" s="70"/>
      <c r="D206" s="70"/>
      <c r="E206" s="5"/>
      <c r="F206" s="70"/>
      <c r="G206" s="70"/>
      <c r="H206" s="70"/>
      <c r="I206" s="70"/>
      <c r="J206" s="70"/>
      <c r="K206" s="70"/>
      <c r="L206" s="70"/>
      <c r="M206" s="70"/>
      <c r="N206" s="70"/>
      <c r="O206" s="70"/>
      <c r="P206" s="70"/>
      <c r="Q206" s="70"/>
      <c r="R206" s="70"/>
      <c r="S206" s="70"/>
      <c r="T206" s="70"/>
      <c r="U206" s="70"/>
      <c r="V206" s="70"/>
      <c r="W206" s="70"/>
    </row>
    <row r="207" ht="14.25" customHeight="1">
      <c r="A207" s="70"/>
      <c r="B207" s="70"/>
      <c r="C207" s="70"/>
      <c r="D207" s="70"/>
      <c r="E207" s="5"/>
      <c r="F207" s="70"/>
      <c r="G207" s="70"/>
      <c r="H207" s="70"/>
      <c r="I207" s="70"/>
      <c r="J207" s="70"/>
      <c r="K207" s="70"/>
      <c r="L207" s="70"/>
      <c r="M207" s="70"/>
      <c r="N207" s="70"/>
      <c r="O207" s="70"/>
      <c r="P207" s="70"/>
      <c r="Q207" s="70"/>
      <c r="R207" s="70"/>
      <c r="S207" s="70"/>
      <c r="T207" s="70"/>
      <c r="U207" s="70"/>
      <c r="V207" s="70"/>
      <c r="W207" s="70"/>
    </row>
    <row r="208" ht="14.25" customHeight="1">
      <c r="A208" s="70"/>
      <c r="B208" s="70"/>
      <c r="C208" s="70"/>
      <c r="D208" s="70"/>
      <c r="E208" s="5"/>
      <c r="F208" s="70"/>
      <c r="G208" s="70"/>
      <c r="H208" s="70"/>
      <c r="I208" s="70"/>
      <c r="J208" s="70"/>
      <c r="K208" s="70"/>
      <c r="L208" s="70"/>
      <c r="M208" s="70"/>
      <c r="N208" s="70"/>
      <c r="O208" s="70"/>
      <c r="P208" s="70"/>
      <c r="Q208" s="70"/>
      <c r="R208" s="70"/>
      <c r="S208" s="70"/>
      <c r="T208" s="70"/>
      <c r="U208" s="70"/>
      <c r="V208" s="70"/>
      <c r="W208" s="70"/>
    </row>
    <row r="209" ht="14.25" customHeight="1">
      <c r="A209" s="70"/>
      <c r="B209" s="70"/>
      <c r="C209" s="70"/>
      <c r="D209" s="70"/>
      <c r="E209" s="5"/>
      <c r="F209" s="70"/>
      <c r="G209" s="70"/>
      <c r="H209" s="70"/>
      <c r="I209" s="70"/>
      <c r="J209" s="70"/>
      <c r="K209" s="70"/>
      <c r="L209" s="70"/>
      <c r="M209" s="70"/>
      <c r="N209" s="70"/>
      <c r="O209" s="70"/>
      <c r="P209" s="70"/>
      <c r="Q209" s="70"/>
      <c r="R209" s="70"/>
      <c r="S209" s="70"/>
      <c r="T209" s="70"/>
      <c r="U209" s="70"/>
      <c r="V209" s="70"/>
      <c r="W209" s="70"/>
    </row>
    <row r="210" ht="14.25" customHeight="1">
      <c r="A210" s="70"/>
      <c r="B210" s="70"/>
      <c r="C210" s="70"/>
      <c r="D210" s="70"/>
      <c r="E210" s="5"/>
      <c r="F210" s="70"/>
      <c r="G210" s="70"/>
      <c r="H210" s="70"/>
      <c r="I210" s="70"/>
      <c r="J210" s="70"/>
      <c r="K210" s="70"/>
      <c r="L210" s="70"/>
      <c r="M210" s="70"/>
      <c r="N210" s="70"/>
      <c r="O210" s="70"/>
      <c r="P210" s="70"/>
      <c r="Q210" s="70"/>
      <c r="R210" s="70"/>
      <c r="S210" s="70"/>
      <c r="T210" s="70"/>
      <c r="U210" s="70"/>
      <c r="V210" s="70"/>
      <c r="W210" s="70"/>
    </row>
    <row r="211" ht="14.25" customHeight="1">
      <c r="A211" s="70"/>
      <c r="B211" s="70"/>
      <c r="C211" s="70"/>
      <c r="D211" s="70"/>
      <c r="E211" s="5"/>
      <c r="F211" s="70"/>
      <c r="G211" s="70"/>
      <c r="H211" s="70"/>
      <c r="I211" s="70"/>
      <c r="J211" s="70"/>
      <c r="K211" s="70"/>
      <c r="L211" s="70"/>
      <c r="M211" s="70"/>
      <c r="N211" s="70"/>
      <c r="O211" s="70"/>
      <c r="P211" s="70"/>
      <c r="Q211" s="70"/>
      <c r="R211" s="70"/>
      <c r="S211" s="70"/>
      <c r="T211" s="70"/>
      <c r="U211" s="70"/>
      <c r="V211" s="70"/>
      <c r="W211" s="70"/>
    </row>
    <row r="212" ht="14.25" customHeight="1">
      <c r="A212" s="70"/>
      <c r="B212" s="70"/>
      <c r="C212" s="70"/>
      <c r="D212" s="70"/>
      <c r="E212" s="5"/>
      <c r="F212" s="70"/>
      <c r="G212" s="70"/>
      <c r="H212" s="70"/>
      <c r="I212" s="70"/>
      <c r="J212" s="70"/>
      <c r="K212" s="70"/>
      <c r="L212" s="70"/>
      <c r="M212" s="70"/>
      <c r="N212" s="70"/>
      <c r="O212" s="70"/>
      <c r="P212" s="70"/>
      <c r="Q212" s="70"/>
      <c r="R212" s="70"/>
      <c r="S212" s="70"/>
      <c r="T212" s="70"/>
      <c r="U212" s="70"/>
      <c r="V212" s="70"/>
      <c r="W212" s="70"/>
    </row>
    <row r="213" ht="14.25" customHeight="1">
      <c r="A213" s="70"/>
      <c r="B213" s="70"/>
      <c r="C213" s="70"/>
      <c r="D213" s="70"/>
      <c r="E213" s="5"/>
      <c r="F213" s="70"/>
      <c r="G213" s="70"/>
      <c r="H213" s="70"/>
      <c r="I213" s="70"/>
      <c r="J213" s="70"/>
      <c r="K213" s="70"/>
      <c r="L213" s="70"/>
      <c r="M213" s="70"/>
      <c r="N213" s="70"/>
      <c r="O213" s="70"/>
      <c r="P213" s="70"/>
      <c r="Q213" s="70"/>
      <c r="R213" s="70"/>
      <c r="S213" s="70"/>
      <c r="T213" s="70"/>
      <c r="U213" s="70"/>
      <c r="V213" s="70"/>
      <c r="W213" s="70"/>
    </row>
    <row r="214" ht="14.25" customHeight="1">
      <c r="A214" s="70"/>
      <c r="B214" s="70"/>
      <c r="C214" s="70"/>
      <c r="D214" s="70"/>
      <c r="E214" s="5"/>
      <c r="F214" s="70"/>
      <c r="G214" s="70"/>
      <c r="H214" s="70"/>
      <c r="I214" s="70"/>
      <c r="J214" s="70"/>
      <c r="K214" s="70"/>
      <c r="L214" s="70"/>
      <c r="M214" s="70"/>
      <c r="N214" s="70"/>
      <c r="O214" s="70"/>
      <c r="P214" s="70"/>
      <c r="Q214" s="70"/>
      <c r="R214" s="70"/>
      <c r="S214" s="70"/>
      <c r="T214" s="70"/>
      <c r="U214" s="70"/>
      <c r="V214" s="70"/>
      <c r="W214" s="70"/>
    </row>
    <row r="215" ht="14.25" customHeight="1">
      <c r="A215" s="70"/>
      <c r="B215" s="70"/>
      <c r="C215" s="70"/>
      <c r="D215" s="70"/>
      <c r="E215" s="5"/>
      <c r="F215" s="70"/>
      <c r="G215" s="70"/>
      <c r="H215" s="70"/>
      <c r="I215" s="70"/>
      <c r="J215" s="70"/>
      <c r="K215" s="70"/>
      <c r="L215" s="70"/>
      <c r="M215" s="70"/>
      <c r="N215" s="70"/>
      <c r="O215" s="70"/>
      <c r="P215" s="70"/>
      <c r="Q215" s="70"/>
      <c r="R215" s="70"/>
      <c r="S215" s="70"/>
      <c r="T215" s="70"/>
      <c r="U215" s="70"/>
      <c r="V215" s="70"/>
      <c r="W215" s="70"/>
    </row>
    <row r="216" ht="14.25" customHeight="1">
      <c r="A216" s="70"/>
      <c r="B216" s="70"/>
      <c r="C216" s="70"/>
      <c r="D216" s="70"/>
      <c r="E216" s="5"/>
      <c r="F216" s="70"/>
      <c r="G216" s="70"/>
      <c r="H216" s="70"/>
      <c r="I216" s="70"/>
      <c r="J216" s="70"/>
      <c r="K216" s="70"/>
      <c r="L216" s="70"/>
      <c r="M216" s="70"/>
      <c r="N216" s="70"/>
      <c r="O216" s="70"/>
      <c r="P216" s="70"/>
      <c r="Q216" s="70"/>
      <c r="R216" s="70"/>
      <c r="S216" s="70"/>
      <c r="T216" s="70"/>
      <c r="U216" s="70"/>
      <c r="V216" s="70"/>
      <c r="W216" s="70"/>
    </row>
    <row r="217" ht="14.25" customHeight="1">
      <c r="A217" s="70"/>
      <c r="B217" s="70"/>
      <c r="C217" s="70"/>
      <c r="D217" s="70"/>
      <c r="E217" s="5"/>
      <c r="F217" s="70"/>
      <c r="G217" s="70"/>
      <c r="H217" s="70"/>
      <c r="I217" s="70"/>
      <c r="J217" s="70"/>
      <c r="K217" s="70"/>
      <c r="L217" s="70"/>
      <c r="M217" s="70"/>
      <c r="N217" s="70"/>
      <c r="O217" s="70"/>
      <c r="P217" s="70"/>
      <c r="Q217" s="70"/>
      <c r="R217" s="70"/>
      <c r="S217" s="70"/>
      <c r="T217" s="70"/>
      <c r="U217" s="70"/>
      <c r="V217" s="70"/>
      <c r="W217" s="70"/>
    </row>
    <row r="218" ht="14.25" customHeight="1">
      <c r="A218" s="70"/>
      <c r="B218" s="70"/>
      <c r="C218" s="70"/>
      <c r="D218" s="70"/>
      <c r="E218" s="5"/>
      <c r="F218" s="70"/>
      <c r="G218" s="70"/>
      <c r="H218" s="70"/>
      <c r="I218" s="70"/>
      <c r="J218" s="70"/>
      <c r="K218" s="70"/>
      <c r="L218" s="70"/>
      <c r="M218" s="70"/>
      <c r="N218" s="70"/>
      <c r="O218" s="70"/>
      <c r="P218" s="70"/>
      <c r="Q218" s="70"/>
      <c r="R218" s="70"/>
      <c r="S218" s="70"/>
      <c r="T218" s="70"/>
      <c r="U218" s="70"/>
      <c r="V218" s="70"/>
      <c r="W218" s="70"/>
    </row>
    <row r="219" ht="14.25" customHeight="1">
      <c r="A219" s="70"/>
      <c r="B219" s="70"/>
      <c r="C219" s="70"/>
      <c r="D219" s="70"/>
      <c r="E219" s="5"/>
      <c r="F219" s="70"/>
      <c r="G219" s="70"/>
      <c r="H219" s="70"/>
      <c r="I219" s="70"/>
      <c r="J219" s="70"/>
      <c r="K219" s="70"/>
      <c r="L219" s="70"/>
      <c r="M219" s="70"/>
      <c r="N219" s="70"/>
      <c r="O219" s="70"/>
      <c r="P219" s="70"/>
      <c r="Q219" s="70"/>
      <c r="R219" s="70"/>
      <c r="S219" s="70"/>
      <c r="T219" s="70"/>
      <c r="U219" s="70"/>
      <c r="V219" s="70"/>
      <c r="W219" s="70"/>
    </row>
    <row r="220" ht="14.25" customHeight="1">
      <c r="A220" s="70"/>
      <c r="B220" s="70"/>
      <c r="C220" s="70"/>
      <c r="D220" s="70"/>
      <c r="E220" s="5"/>
      <c r="F220" s="70"/>
      <c r="G220" s="70"/>
      <c r="H220" s="70"/>
      <c r="I220" s="70"/>
      <c r="J220" s="70"/>
      <c r="K220" s="70"/>
      <c r="L220" s="70"/>
      <c r="M220" s="70"/>
      <c r="N220" s="70"/>
      <c r="O220" s="70"/>
      <c r="P220" s="70"/>
      <c r="Q220" s="70"/>
      <c r="R220" s="70"/>
      <c r="S220" s="70"/>
      <c r="T220" s="70"/>
      <c r="U220" s="70"/>
      <c r="V220" s="70"/>
      <c r="W220" s="70"/>
    </row>
    <row r="221" ht="14.25" customHeight="1">
      <c r="A221" s="70"/>
      <c r="B221" s="70"/>
      <c r="C221" s="70"/>
      <c r="D221" s="70"/>
      <c r="E221" s="5"/>
      <c r="F221" s="70"/>
      <c r="G221" s="70"/>
      <c r="H221" s="70"/>
      <c r="I221" s="70"/>
      <c r="J221" s="70"/>
      <c r="K221" s="70"/>
      <c r="L221" s="70"/>
      <c r="M221" s="70"/>
      <c r="N221" s="70"/>
      <c r="O221" s="70"/>
      <c r="P221" s="70"/>
      <c r="Q221" s="70"/>
      <c r="R221" s="70"/>
      <c r="S221" s="70"/>
      <c r="T221" s="70"/>
      <c r="U221" s="70"/>
      <c r="V221" s="70"/>
      <c r="W221" s="70"/>
    </row>
    <row r="222" ht="14.25" customHeight="1">
      <c r="A222" s="70"/>
      <c r="B222" s="70"/>
      <c r="C222" s="70"/>
      <c r="D222" s="70"/>
      <c r="E222" s="5"/>
      <c r="F222" s="70"/>
      <c r="G222" s="70"/>
      <c r="H222" s="70"/>
      <c r="I222" s="70"/>
      <c r="J222" s="70"/>
      <c r="K222" s="70"/>
      <c r="L222" s="70"/>
      <c r="M222" s="70"/>
      <c r="N222" s="70"/>
      <c r="O222" s="70"/>
      <c r="P222" s="70"/>
      <c r="Q222" s="70"/>
      <c r="R222" s="70"/>
      <c r="S222" s="70"/>
      <c r="T222" s="70"/>
      <c r="U222" s="70"/>
      <c r="V222" s="70"/>
      <c r="W222" s="70"/>
    </row>
    <row r="223" ht="14.25" customHeight="1">
      <c r="A223" s="70"/>
      <c r="B223" s="70"/>
      <c r="C223" s="70"/>
      <c r="D223" s="70"/>
      <c r="E223" s="5"/>
      <c r="F223" s="70"/>
      <c r="G223" s="70"/>
      <c r="H223" s="70"/>
      <c r="I223" s="70"/>
      <c r="J223" s="70"/>
      <c r="K223" s="70"/>
      <c r="L223" s="70"/>
      <c r="M223" s="70"/>
      <c r="N223" s="70"/>
      <c r="O223" s="70"/>
      <c r="P223" s="70"/>
      <c r="Q223" s="70"/>
      <c r="R223" s="70"/>
      <c r="S223" s="70"/>
      <c r="T223" s="70"/>
      <c r="U223" s="70"/>
      <c r="V223" s="70"/>
      <c r="W223" s="70"/>
    </row>
    <row r="224" ht="14.25" customHeight="1">
      <c r="A224" s="70"/>
      <c r="B224" s="70"/>
      <c r="C224" s="70"/>
      <c r="D224" s="70"/>
      <c r="E224" s="5"/>
      <c r="F224" s="70"/>
      <c r="G224" s="70"/>
      <c r="H224" s="70"/>
      <c r="I224" s="70"/>
      <c r="J224" s="70"/>
      <c r="K224" s="70"/>
      <c r="L224" s="70"/>
      <c r="M224" s="70"/>
      <c r="N224" s="70"/>
      <c r="O224" s="70"/>
      <c r="P224" s="70"/>
      <c r="Q224" s="70"/>
      <c r="R224" s="70"/>
      <c r="S224" s="70"/>
      <c r="T224" s="70"/>
      <c r="U224" s="70"/>
      <c r="V224" s="70"/>
      <c r="W224" s="70"/>
    </row>
    <row r="225" ht="14.25" customHeight="1">
      <c r="A225" s="70"/>
      <c r="B225" s="70"/>
      <c r="C225" s="70"/>
      <c r="D225" s="70"/>
      <c r="E225" s="5"/>
      <c r="F225" s="70"/>
      <c r="G225" s="70"/>
      <c r="H225" s="70"/>
      <c r="I225" s="70"/>
      <c r="J225" s="70"/>
      <c r="K225" s="70"/>
      <c r="L225" s="70"/>
      <c r="M225" s="70"/>
      <c r="N225" s="70"/>
      <c r="O225" s="70"/>
      <c r="P225" s="70"/>
      <c r="Q225" s="70"/>
      <c r="R225" s="70"/>
      <c r="S225" s="70"/>
      <c r="T225" s="70"/>
      <c r="U225" s="70"/>
      <c r="V225" s="70"/>
      <c r="W225" s="70"/>
    </row>
    <row r="226" ht="14.25" customHeight="1">
      <c r="A226" s="70"/>
      <c r="B226" s="70"/>
      <c r="C226" s="70"/>
      <c r="D226" s="70"/>
      <c r="E226" s="5"/>
      <c r="F226" s="70"/>
      <c r="G226" s="70"/>
      <c r="H226" s="70"/>
      <c r="I226" s="70"/>
      <c r="J226" s="70"/>
      <c r="K226" s="70"/>
      <c r="L226" s="70"/>
      <c r="M226" s="70"/>
      <c r="N226" s="70"/>
      <c r="O226" s="70"/>
      <c r="P226" s="70"/>
      <c r="Q226" s="70"/>
      <c r="R226" s="70"/>
      <c r="S226" s="70"/>
      <c r="T226" s="70"/>
      <c r="U226" s="70"/>
      <c r="V226" s="70"/>
      <c r="W226" s="70"/>
    </row>
    <row r="227" ht="14.25" customHeight="1">
      <c r="A227" s="70"/>
      <c r="B227" s="70"/>
      <c r="C227" s="70"/>
      <c r="D227" s="70"/>
      <c r="E227" s="5"/>
      <c r="F227" s="70"/>
      <c r="G227" s="70"/>
      <c r="H227" s="70"/>
      <c r="I227" s="70"/>
      <c r="J227" s="70"/>
      <c r="K227" s="70"/>
      <c r="L227" s="70"/>
      <c r="M227" s="70"/>
      <c r="N227" s="70"/>
      <c r="O227" s="70"/>
      <c r="P227" s="70"/>
      <c r="Q227" s="70"/>
      <c r="R227" s="70"/>
      <c r="S227" s="70"/>
      <c r="T227" s="70"/>
      <c r="U227" s="70"/>
      <c r="V227" s="70"/>
      <c r="W227" s="70"/>
    </row>
    <row r="228" ht="14.25" customHeight="1">
      <c r="A228" s="70"/>
      <c r="B228" s="70"/>
      <c r="C228" s="70"/>
      <c r="D228" s="70"/>
      <c r="E228" s="5"/>
      <c r="F228" s="70"/>
      <c r="G228" s="70"/>
      <c r="H228" s="70"/>
      <c r="I228" s="70"/>
      <c r="J228" s="70"/>
      <c r="K228" s="70"/>
      <c r="L228" s="70"/>
      <c r="M228" s="70"/>
      <c r="N228" s="70"/>
      <c r="O228" s="70"/>
      <c r="P228" s="70"/>
      <c r="Q228" s="70"/>
      <c r="R228" s="70"/>
      <c r="S228" s="70"/>
      <c r="T228" s="70"/>
      <c r="U228" s="70"/>
      <c r="V228" s="70"/>
      <c r="W228" s="70"/>
    </row>
    <row r="229" ht="14.25" customHeight="1">
      <c r="A229" s="70"/>
      <c r="B229" s="70"/>
      <c r="C229" s="70"/>
      <c r="D229" s="70"/>
      <c r="E229" s="5"/>
      <c r="F229" s="70"/>
      <c r="G229" s="70"/>
      <c r="H229" s="70"/>
      <c r="I229" s="70"/>
      <c r="J229" s="70"/>
      <c r="K229" s="70"/>
      <c r="L229" s="70"/>
      <c r="M229" s="70"/>
      <c r="N229" s="70"/>
      <c r="O229" s="70"/>
      <c r="P229" s="70"/>
      <c r="Q229" s="70"/>
      <c r="R229" s="70"/>
      <c r="S229" s="70"/>
      <c r="T229" s="70"/>
      <c r="U229" s="70"/>
      <c r="V229" s="70"/>
      <c r="W229" s="70"/>
    </row>
    <row r="230" ht="14.25" customHeight="1">
      <c r="A230" s="70"/>
      <c r="B230" s="70"/>
      <c r="C230" s="70"/>
      <c r="D230" s="70"/>
      <c r="E230" s="5"/>
      <c r="F230" s="70"/>
      <c r="G230" s="70"/>
      <c r="H230" s="70"/>
      <c r="I230" s="70"/>
      <c r="J230" s="70"/>
      <c r="K230" s="70"/>
      <c r="L230" s="70"/>
      <c r="M230" s="70"/>
      <c r="N230" s="70"/>
      <c r="O230" s="70"/>
      <c r="P230" s="70"/>
      <c r="Q230" s="70"/>
      <c r="R230" s="70"/>
      <c r="S230" s="70"/>
      <c r="T230" s="70"/>
      <c r="U230" s="70"/>
      <c r="V230" s="70"/>
      <c r="W230" s="70"/>
    </row>
    <row r="231" ht="14.25" customHeight="1">
      <c r="A231" s="70"/>
      <c r="B231" s="70"/>
      <c r="C231" s="70"/>
      <c r="D231" s="70"/>
      <c r="E231" s="5"/>
      <c r="F231" s="70"/>
      <c r="G231" s="70"/>
      <c r="H231" s="70"/>
      <c r="I231" s="70"/>
      <c r="J231" s="70"/>
      <c r="K231" s="70"/>
      <c r="L231" s="70"/>
      <c r="M231" s="70"/>
      <c r="N231" s="70"/>
      <c r="O231" s="70"/>
      <c r="P231" s="70"/>
      <c r="Q231" s="70"/>
      <c r="R231" s="70"/>
      <c r="S231" s="70"/>
      <c r="T231" s="70"/>
      <c r="U231" s="70"/>
      <c r="V231" s="70"/>
      <c r="W231" s="70"/>
    </row>
    <row r="232" ht="14.25" customHeight="1">
      <c r="A232" s="70"/>
      <c r="B232" s="70"/>
      <c r="C232" s="70"/>
      <c r="D232" s="70"/>
      <c r="E232" s="5"/>
      <c r="F232" s="70"/>
      <c r="G232" s="70"/>
      <c r="H232" s="70"/>
      <c r="I232" s="70"/>
      <c r="J232" s="70"/>
      <c r="K232" s="70"/>
      <c r="L232" s="70"/>
      <c r="M232" s="70"/>
      <c r="N232" s="70"/>
      <c r="O232" s="70"/>
      <c r="P232" s="70"/>
      <c r="Q232" s="70"/>
      <c r="R232" s="70"/>
      <c r="S232" s="70"/>
      <c r="T232" s="70"/>
      <c r="U232" s="70"/>
      <c r="V232" s="70"/>
      <c r="W232" s="70"/>
    </row>
    <row r="233" ht="14.25" customHeight="1">
      <c r="A233" s="70"/>
      <c r="B233" s="70"/>
      <c r="C233" s="70"/>
      <c r="D233" s="70"/>
      <c r="E233" s="5"/>
      <c r="F233" s="70"/>
      <c r="G233" s="70"/>
      <c r="H233" s="70"/>
      <c r="I233" s="70"/>
      <c r="J233" s="70"/>
      <c r="K233" s="70"/>
      <c r="L233" s="70"/>
      <c r="M233" s="70"/>
      <c r="N233" s="70"/>
      <c r="O233" s="70"/>
      <c r="P233" s="70"/>
      <c r="Q233" s="70"/>
      <c r="R233" s="70"/>
      <c r="S233" s="70"/>
      <c r="T233" s="70"/>
      <c r="U233" s="70"/>
      <c r="V233" s="70"/>
      <c r="W233" s="70"/>
    </row>
    <row r="234" ht="14.25" customHeight="1">
      <c r="A234" s="70"/>
      <c r="B234" s="70"/>
      <c r="C234" s="70"/>
      <c r="D234" s="70"/>
      <c r="E234" s="5"/>
      <c r="F234" s="70"/>
      <c r="G234" s="70"/>
      <c r="H234" s="70"/>
      <c r="I234" s="70"/>
      <c r="J234" s="70"/>
      <c r="K234" s="70"/>
      <c r="L234" s="70"/>
      <c r="M234" s="70"/>
      <c r="N234" s="70"/>
      <c r="O234" s="70"/>
      <c r="P234" s="70"/>
      <c r="Q234" s="70"/>
      <c r="R234" s="70"/>
      <c r="S234" s="70"/>
      <c r="T234" s="70"/>
      <c r="U234" s="70"/>
      <c r="V234" s="70"/>
      <c r="W234" s="70"/>
    </row>
    <row r="235" ht="14.25" customHeight="1">
      <c r="A235" s="70"/>
      <c r="B235" s="70"/>
      <c r="C235" s="70"/>
      <c r="D235" s="70"/>
      <c r="E235" s="5"/>
      <c r="F235" s="70"/>
      <c r="G235" s="70"/>
      <c r="H235" s="70"/>
      <c r="I235" s="70"/>
      <c r="J235" s="70"/>
      <c r="K235" s="70"/>
      <c r="L235" s="70"/>
      <c r="M235" s="70"/>
      <c r="N235" s="70"/>
      <c r="O235" s="70"/>
      <c r="P235" s="70"/>
      <c r="Q235" s="70"/>
      <c r="R235" s="70"/>
      <c r="S235" s="70"/>
      <c r="T235" s="70"/>
      <c r="U235" s="70"/>
      <c r="V235" s="70"/>
      <c r="W235" s="70"/>
    </row>
    <row r="236" ht="14.25" customHeight="1">
      <c r="A236" s="70"/>
      <c r="B236" s="70"/>
      <c r="C236" s="70"/>
      <c r="D236" s="70"/>
      <c r="E236" s="5"/>
      <c r="F236" s="70"/>
      <c r="G236" s="70"/>
      <c r="H236" s="70"/>
      <c r="I236" s="70"/>
      <c r="J236" s="70"/>
      <c r="K236" s="70"/>
      <c r="L236" s="70"/>
      <c r="M236" s="70"/>
      <c r="N236" s="70"/>
      <c r="O236" s="70"/>
      <c r="P236" s="70"/>
      <c r="Q236" s="70"/>
      <c r="R236" s="70"/>
      <c r="S236" s="70"/>
      <c r="T236" s="70"/>
      <c r="U236" s="70"/>
      <c r="V236" s="70"/>
      <c r="W236" s="70"/>
    </row>
    <row r="237" ht="14.25" customHeight="1">
      <c r="A237" s="70"/>
      <c r="B237" s="70"/>
      <c r="C237" s="70"/>
      <c r="D237" s="70"/>
      <c r="E237" s="5"/>
      <c r="F237" s="70"/>
      <c r="G237" s="70"/>
      <c r="H237" s="70"/>
      <c r="I237" s="70"/>
      <c r="J237" s="70"/>
      <c r="K237" s="70"/>
      <c r="L237" s="70"/>
      <c r="M237" s="70"/>
      <c r="N237" s="70"/>
      <c r="O237" s="70"/>
      <c r="P237" s="70"/>
      <c r="Q237" s="70"/>
      <c r="R237" s="70"/>
      <c r="S237" s="70"/>
      <c r="T237" s="70"/>
      <c r="U237" s="70"/>
      <c r="V237" s="70"/>
      <c r="W237" s="70"/>
    </row>
    <row r="238" ht="14.25" customHeight="1">
      <c r="A238" s="70"/>
      <c r="B238" s="70"/>
      <c r="C238" s="70"/>
      <c r="D238" s="70"/>
      <c r="E238" s="5"/>
      <c r="F238" s="70"/>
      <c r="G238" s="70"/>
      <c r="H238" s="70"/>
      <c r="I238" s="70"/>
      <c r="J238" s="70"/>
      <c r="K238" s="70"/>
      <c r="L238" s="70"/>
      <c r="M238" s="70"/>
      <c r="N238" s="70"/>
      <c r="O238" s="70"/>
      <c r="P238" s="70"/>
      <c r="Q238" s="70"/>
      <c r="R238" s="70"/>
      <c r="S238" s="70"/>
      <c r="T238" s="70"/>
      <c r="U238" s="70"/>
      <c r="V238" s="70"/>
      <c r="W238" s="70"/>
    </row>
    <row r="239" ht="14.25" customHeight="1">
      <c r="A239" s="70"/>
      <c r="B239" s="70"/>
      <c r="C239" s="70"/>
      <c r="D239" s="70"/>
      <c r="E239" s="5"/>
      <c r="F239" s="70"/>
      <c r="G239" s="70"/>
      <c r="H239" s="70"/>
      <c r="I239" s="70"/>
      <c r="J239" s="70"/>
      <c r="K239" s="70"/>
      <c r="L239" s="70"/>
      <c r="M239" s="70"/>
      <c r="N239" s="70"/>
      <c r="O239" s="70"/>
      <c r="P239" s="70"/>
      <c r="Q239" s="70"/>
      <c r="R239" s="70"/>
      <c r="S239" s="70"/>
      <c r="T239" s="70"/>
      <c r="U239" s="70"/>
      <c r="V239" s="70"/>
      <c r="W239" s="70"/>
    </row>
    <row r="240" ht="14.25" customHeight="1">
      <c r="A240" s="70"/>
      <c r="B240" s="70"/>
      <c r="C240" s="70"/>
      <c r="D240" s="70"/>
      <c r="E240" s="5"/>
      <c r="F240" s="70"/>
      <c r="G240" s="70"/>
      <c r="H240" s="70"/>
      <c r="I240" s="70"/>
      <c r="J240" s="70"/>
      <c r="K240" s="70"/>
      <c r="L240" s="70"/>
      <c r="M240" s="70"/>
      <c r="N240" s="70"/>
      <c r="O240" s="70"/>
      <c r="P240" s="70"/>
      <c r="Q240" s="70"/>
      <c r="R240" s="70"/>
      <c r="S240" s="70"/>
      <c r="T240" s="70"/>
      <c r="U240" s="70"/>
      <c r="V240" s="70"/>
      <c r="W240" s="70"/>
    </row>
    <row r="241" ht="14.25" customHeight="1">
      <c r="A241" s="70"/>
      <c r="B241" s="70"/>
      <c r="C241" s="70"/>
      <c r="D241" s="70"/>
      <c r="E241" s="5"/>
      <c r="F241" s="70"/>
      <c r="G241" s="70"/>
      <c r="H241" s="70"/>
      <c r="I241" s="70"/>
      <c r="J241" s="70"/>
      <c r="K241" s="70"/>
      <c r="L241" s="70"/>
      <c r="M241" s="70"/>
      <c r="N241" s="70"/>
      <c r="O241" s="70"/>
      <c r="P241" s="70"/>
      <c r="Q241" s="70"/>
      <c r="R241" s="70"/>
      <c r="S241" s="70"/>
      <c r="T241" s="70"/>
      <c r="U241" s="70"/>
      <c r="V241" s="70"/>
      <c r="W241" s="70"/>
    </row>
    <row r="242" ht="14.25" customHeight="1">
      <c r="A242" s="70"/>
      <c r="B242" s="70"/>
      <c r="C242" s="70"/>
      <c r="D242" s="70"/>
      <c r="E242" s="5"/>
      <c r="F242" s="70"/>
      <c r="G242" s="70"/>
      <c r="H242" s="70"/>
      <c r="I242" s="70"/>
      <c r="J242" s="70"/>
      <c r="K242" s="70"/>
      <c r="L242" s="70"/>
      <c r="M242" s="70"/>
      <c r="N242" s="70"/>
      <c r="O242" s="70"/>
      <c r="P242" s="70"/>
      <c r="Q242" s="70"/>
      <c r="R242" s="70"/>
      <c r="S242" s="70"/>
      <c r="T242" s="70"/>
      <c r="U242" s="70"/>
      <c r="V242" s="70"/>
      <c r="W242" s="70"/>
    </row>
    <row r="243" ht="14.25" customHeight="1">
      <c r="A243" s="70"/>
      <c r="B243" s="70"/>
      <c r="C243" s="70"/>
      <c r="D243" s="70"/>
      <c r="E243" s="5"/>
      <c r="F243" s="70"/>
      <c r="G243" s="70"/>
      <c r="H243" s="70"/>
      <c r="I243" s="70"/>
      <c r="J243" s="70"/>
      <c r="K243" s="70"/>
      <c r="L243" s="70"/>
      <c r="M243" s="70"/>
      <c r="N243" s="70"/>
      <c r="O243" s="70"/>
      <c r="P243" s="70"/>
      <c r="Q243" s="70"/>
      <c r="R243" s="70"/>
      <c r="S243" s="70"/>
      <c r="T243" s="70"/>
      <c r="U243" s="70"/>
      <c r="V243" s="70"/>
      <c r="W243" s="70"/>
    </row>
    <row r="244" ht="14.25" customHeight="1">
      <c r="A244" s="70"/>
      <c r="B244" s="70"/>
      <c r="C244" s="70"/>
      <c r="D244" s="70"/>
      <c r="E244" s="5"/>
      <c r="F244" s="70"/>
      <c r="G244" s="70"/>
      <c r="H244" s="70"/>
      <c r="I244" s="70"/>
      <c r="J244" s="70"/>
      <c r="K244" s="70"/>
      <c r="L244" s="70"/>
      <c r="M244" s="70"/>
      <c r="N244" s="70"/>
      <c r="O244" s="70"/>
      <c r="P244" s="70"/>
      <c r="Q244" s="70"/>
      <c r="R244" s="70"/>
      <c r="S244" s="70"/>
      <c r="T244" s="70"/>
      <c r="U244" s="70"/>
      <c r="V244" s="70"/>
      <c r="W244" s="70"/>
    </row>
    <row r="245" ht="14.25" customHeight="1">
      <c r="A245" s="70"/>
      <c r="B245" s="70"/>
      <c r="C245" s="70"/>
      <c r="D245" s="70"/>
      <c r="E245" s="5"/>
      <c r="F245" s="70"/>
      <c r="G245" s="70"/>
      <c r="H245" s="70"/>
      <c r="I245" s="70"/>
      <c r="J245" s="70"/>
      <c r="K245" s="70"/>
      <c r="L245" s="70"/>
      <c r="M245" s="70"/>
      <c r="N245" s="70"/>
      <c r="O245" s="70"/>
      <c r="P245" s="70"/>
      <c r="Q245" s="70"/>
      <c r="R245" s="70"/>
      <c r="S245" s="70"/>
      <c r="T245" s="70"/>
      <c r="U245" s="70"/>
      <c r="V245" s="70"/>
      <c r="W245" s="70"/>
    </row>
    <row r="246" ht="14.25" customHeight="1">
      <c r="A246" s="70"/>
      <c r="B246" s="70"/>
      <c r="C246" s="70"/>
      <c r="D246" s="70"/>
      <c r="E246" s="5"/>
      <c r="F246" s="70"/>
      <c r="G246" s="70"/>
      <c r="H246" s="70"/>
      <c r="I246" s="70"/>
      <c r="J246" s="70"/>
      <c r="K246" s="70"/>
      <c r="L246" s="70"/>
      <c r="M246" s="70"/>
      <c r="N246" s="70"/>
      <c r="O246" s="70"/>
      <c r="P246" s="70"/>
      <c r="Q246" s="70"/>
      <c r="R246" s="70"/>
      <c r="S246" s="70"/>
      <c r="T246" s="70"/>
      <c r="U246" s="70"/>
      <c r="V246" s="70"/>
      <c r="W246" s="70"/>
    </row>
    <row r="247" ht="14.25" customHeight="1">
      <c r="A247" s="70"/>
      <c r="B247" s="70"/>
      <c r="C247" s="70"/>
      <c r="D247" s="70"/>
      <c r="E247" s="5"/>
      <c r="F247" s="70"/>
      <c r="G247" s="70"/>
      <c r="H247" s="70"/>
      <c r="I247" s="70"/>
      <c r="J247" s="70"/>
      <c r="K247" s="70"/>
      <c r="L247" s="70"/>
      <c r="M247" s="70"/>
      <c r="N247" s="70"/>
      <c r="O247" s="70"/>
      <c r="P247" s="70"/>
      <c r="Q247" s="70"/>
      <c r="R247" s="70"/>
      <c r="S247" s="70"/>
      <c r="T247" s="70"/>
      <c r="U247" s="70"/>
      <c r="V247" s="70"/>
      <c r="W247" s="70"/>
    </row>
    <row r="248" ht="14.25" customHeight="1">
      <c r="A248" s="70"/>
      <c r="B248" s="70"/>
      <c r="C248" s="70"/>
      <c r="D248" s="70"/>
      <c r="E248" s="5"/>
      <c r="F248" s="70"/>
      <c r="G248" s="70"/>
      <c r="H248" s="70"/>
      <c r="I248" s="70"/>
      <c r="J248" s="70"/>
      <c r="K248" s="70"/>
      <c r="L248" s="70"/>
      <c r="M248" s="70"/>
      <c r="N248" s="70"/>
      <c r="O248" s="70"/>
      <c r="P248" s="70"/>
      <c r="Q248" s="70"/>
      <c r="R248" s="70"/>
      <c r="S248" s="70"/>
      <c r="T248" s="70"/>
      <c r="U248" s="70"/>
      <c r="V248" s="70"/>
      <c r="W248" s="70"/>
    </row>
    <row r="249" ht="14.25" customHeight="1">
      <c r="A249" s="70"/>
      <c r="B249" s="70"/>
      <c r="C249" s="70"/>
      <c r="D249" s="70"/>
      <c r="E249" s="5"/>
      <c r="F249" s="70"/>
      <c r="G249" s="70"/>
      <c r="H249" s="70"/>
      <c r="I249" s="70"/>
      <c r="J249" s="70"/>
      <c r="K249" s="70"/>
      <c r="L249" s="70"/>
      <c r="M249" s="70"/>
      <c r="N249" s="70"/>
      <c r="O249" s="70"/>
      <c r="P249" s="70"/>
      <c r="Q249" s="70"/>
      <c r="R249" s="70"/>
      <c r="S249" s="70"/>
      <c r="T249" s="70"/>
      <c r="U249" s="70"/>
      <c r="V249" s="70"/>
      <c r="W249" s="70"/>
    </row>
    <row r="250" ht="14.25" customHeight="1">
      <c r="A250" s="70"/>
      <c r="B250" s="70"/>
      <c r="C250" s="70"/>
      <c r="D250" s="70"/>
      <c r="E250" s="5"/>
      <c r="F250" s="70"/>
      <c r="G250" s="70"/>
      <c r="H250" s="70"/>
      <c r="I250" s="70"/>
      <c r="J250" s="70"/>
      <c r="K250" s="70"/>
      <c r="L250" s="70"/>
      <c r="M250" s="70"/>
      <c r="N250" s="70"/>
      <c r="O250" s="70"/>
      <c r="P250" s="70"/>
      <c r="Q250" s="70"/>
      <c r="R250" s="70"/>
      <c r="S250" s="70"/>
      <c r="T250" s="70"/>
      <c r="U250" s="70"/>
      <c r="V250" s="70"/>
      <c r="W250" s="70"/>
    </row>
    <row r="251" ht="14.25" customHeight="1">
      <c r="A251" s="70"/>
      <c r="B251" s="70"/>
      <c r="C251" s="70"/>
      <c r="D251" s="70"/>
      <c r="E251" s="5"/>
      <c r="F251" s="70"/>
      <c r="G251" s="70"/>
      <c r="H251" s="70"/>
      <c r="I251" s="70"/>
      <c r="J251" s="70"/>
      <c r="K251" s="70"/>
      <c r="L251" s="70"/>
      <c r="M251" s="70"/>
      <c r="N251" s="70"/>
      <c r="O251" s="70"/>
      <c r="P251" s="70"/>
      <c r="Q251" s="70"/>
      <c r="R251" s="70"/>
      <c r="S251" s="70"/>
      <c r="T251" s="70"/>
      <c r="U251" s="70"/>
      <c r="V251" s="70"/>
      <c r="W251" s="70"/>
    </row>
    <row r="252" ht="14.25" customHeight="1">
      <c r="A252" s="70"/>
      <c r="B252" s="70"/>
      <c r="C252" s="70"/>
      <c r="D252" s="70"/>
      <c r="E252" s="5"/>
      <c r="F252" s="70"/>
      <c r="G252" s="70"/>
      <c r="H252" s="70"/>
      <c r="I252" s="70"/>
      <c r="J252" s="70"/>
      <c r="K252" s="70"/>
      <c r="L252" s="70"/>
      <c r="M252" s="70"/>
      <c r="N252" s="70"/>
      <c r="O252" s="70"/>
      <c r="P252" s="70"/>
      <c r="Q252" s="70"/>
      <c r="R252" s="70"/>
      <c r="S252" s="70"/>
      <c r="T252" s="70"/>
      <c r="U252" s="70"/>
      <c r="V252" s="70"/>
      <c r="W252" s="70"/>
    </row>
    <row r="253" ht="14.25" customHeight="1">
      <c r="A253" s="70"/>
      <c r="B253" s="70"/>
      <c r="C253" s="70"/>
      <c r="D253" s="70"/>
      <c r="E253" s="5"/>
      <c r="F253" s="70"/>
      <c r="G253" s="70"/>
      <c r="H253" s="70"/>
      <c r="I253" s="70"/>
      <c r="J253" s="70"/>
      <c r="K253" s="70"/>
      <c r="L253" s="70"/>
      <c r="M253" s="70"/>
      <c r="N253" s="70"/>
      <c r="O253" s="70"/>
      <c r="P253" s="70"/>
      <c r="Q253" s="70"/>
      <c r="R253" s="70"/>
      <c r="S253" s="70"/>
      <c r="T253" s="70"/>
      <c r="U253" s="70"/>
      <c r="V253" s="70"/>
      <c r="W253" s="70"/>
    </row>
    <row r="254" ht="14.25" customHeight="1">
      <c r="A254" s="70"/>
      <c r="B254" s="70"/>
      <c r="C254" s="70"/>
      <c r="D254" s="70"/>
      <c r="E254" s="5"/>
      <c r="F254" s="70"/>
      <c r="G254" s="70"/>
      <c r="H254" s="70"/>
      <c r="I254" s="70"/>
      <c r="J254" s="70"/>
      <c r="K254" s="70"/>
      <c r="L254" s="70"/>
      <c r="M254" s="70"/>
      <c r="N254" s="70"/>
      <c r="O254" s="70"/>
      <c r="P254" s="70"/>
      <c r="Q254" s="70"/>
      <c r="R254" s="70"/>
      <c r="S254" s="70"/>
      <c r="T254" s="70"/>
      <c r="U254" s="70"/>
      <c r="V254" s="70"/>
      <c r="W254" s="70"/>
    </row>
    <row r="255" ht="14.25" customHeight="1">
      <c r="A255" s="70"/>
      <c r="B255" s="70"/>
      <c r="C255" s="70"/>
      <c r="D255" s="70"/>
      <c r="E255" s="5"/>
      <c r="F255" s="70"/>
      <c r="G255" s="70"/>
      <c r="H255" s="70"/>
      <c r="I255" s="70"/>
      <c r="J255" s="70"/>
      <c r="K255" s="70"/>
      <c r="L255" s="70"/>
      <c r="M255" s="70"/>
      <c r="N255" s="70"/>
      <c r="O255" s="70"/>
      <c r="P255" s="70"/>
      <c r="Q255" s="70"/>
      <c r="R255" s="70"/>
      <c r="S255" s="70"/>
      <c r="T255" s="70"/>
      <c r="U255" s="70"/>
      <c r="V255" s="70"/>
      <c r="W255" s="70"/>
    </row>
    <row r="256" ht="14.25" customHeight="1">
      <c r="A256" s="70"/>
      <c r="B256" s="70"/>
      <c r="C256" s="70"/>
      <c r="D256" s="70"/>
      <c r="E256" s="5"/>
      <c r="F256" s="70"/>
      <c r="G256" s="70"/>
      <c r="H256" s="70"/>
      <c r="I256" s="70"/>
      <c r="J256" s="70"/>
      <c r="K256" s="70"/>
      <c r="L256" s="70"/>
      <c r="M256" s="70"/>
      <c r="N256" s="70"/>
      <c r="O256" s="70"/>
      <c r="P256" s="70"/>
      <c r="Q256" s="70"/>
      <c r="R256" s="70"/>
      <c r="S256" s="70"/>
      <c r="T256" s="70"/>
      <c r="U256" s="70"/>
      <c r="V256" s="70"/>
      <c r="W256" s="70"/>
    </row>
    <row r="257" ht="14.25" customHeight="1">
      <c r="A257" s="70"/>
      <c r="B257" s="70"/>
      <c r="C257" s="70"/>
      <c r="D257" s="70"/>
      <c r="E257" s="5"/>
      <c r="F257" s="70"/>
      <c r="G257" s="70"/>
      <c r="H257" s="70"/>
      <c r="I257" s="70"/>
      <c r="J257" s="70"/>
      <c r="K257" s="70"/>
      <c r="L257" s="70"/>
      <c r="M257" s="70"/>
      <c r="N257" s="70"/>
      <c r="O257" s="70"/>
      <c r="P257" s="70"/>
      <c r="Q257" s="70"/>
      <c r="R257" s="70"/>
      <c r="S257" s="70"/>
      <c r="T257" s="70"/>
      <c r="U257" s="70"/>
      <c r="V257" s="70"/>
      <c r="W257" s="70"/>
    </row>
    <row r="258" ht="14.25" customHeight="1">
      <c r="A258" s="70"/>
      <c r="B258" s="70"/>
      <c r="C258" s="70"/>
      <c r="D258" s="70"/>
      <c r="E258" s="5"/>
      <c r="F258" s="70"/>
      <c r="G258" s="70"/>
      <c r="H258" s="70"/>
      <c r="I258" s="70"/>
      <c r="J258" s="70"/>
      <c r="K258" s="70"/>
      <c r="L258" s="70"/>
      <c r="M258" s="70"/>
      <c r="N258" s="70"/>
      <c r="O258" s="70"/>
      <c r="P258" s="70"/>
      <c r="Q258" s="70"/>
      <c r="R258" s="70"/>
      <c r="S258" s="70"/>
      <c r="T258" s="70"/>
      <c r="U258" s="70"/>
      <c r="V258" s="70"/>
      <c r="W258" s="70"/>
    </row>
    <row r="259" ht="14.25" customHeight="1">
      <c r="A259" s="70"/>
      <c r="B259" s="70"/>
      <c r="C259" s="70"/>
      <c r="D259" s="70"/>
      <c r="E259" s="5"/>
      <c r="F259" s="70"/>
      <c r="G259" s="70"/>
      <c r="H259" s="70"/>
      <c r="I259" s="70"/>
      <c r="J259" s="70"/>
      <c r="K259" s="70"/>
      <c r="L259" s="70"/>
      <c r="M259" s="70"/>
      <c r="N259" s="70"/>
      <c r="O259" s="70"/>
      <c r="P259" s="70"/>
      <c r="Q259" s="70"/>
      <c r="R259" s="70"/>
      <c r="S259" s="70"/>
      <c r="T259" s="70"/>
      <c r="U259" s="70"/>
      <c r="V259" s="70"/>
      <c r="W259" s="70"/>
    </row>
    <row r="260" ht="14.25" customHeight="1">
      <c r="A260" s="70"/>
      <c r="B260" s="70"/>
      <c r="C260" s="70"/>
      <c r="D260" s="70"/>
      <c r="E260" s="5"/>
      <c r="F260" s="70"/>
      <c r="G260" s="70"/>
      <c r="H260" s="70"/>
      <c r="I260" s="70"/>
      <c r="J260" s="70"/>
      <c r="K260" s="70"/>
      <c r="L260" s="70"/>
      <c r="M260" s="70"/>
      <c r="N260" s="70"/>
      <c r="O260" s="70"/>
      <c r="P260" s="70"/>
      <c r="Q260" s="70"/>
      <c r="R260" s="70"/>
      <c r="S260" s="70"/>
      <c r="T260" s="70"/>
      <c r="U260" s="70"/>
      <c r="V260" s="70"/>
      <c r="W260" s="70"/>
    </row>
    <row r="261" ht="14.25" customHeight="1">
      <c r="A261" s="70"/>
      <c r="B261" s="70"/>
      <c r="C261" s="70"/>
      <c r="D261" s="70"/>
      <c r="E261" s="5"/>
      <c r="F261" s="70"/>
      <c r="G261" s="70"/>
      <c r="H261" s="70"/>
      <c r="I261" s="70"/>
      <c r="J261" s="70"/>
      <c r="K261" s="70"/>
      <c r="L261" s="70"/>
      <c r="M261" s="70"/>
      <c r="N261" s="70"/>
      <c r="O261" s="70"/>
      <c r="P261" s="70"/>
      <c r="Q261" s="70"/>
      <c r="R261" s="70"/>
      <c r="S261" s="70"/>
      <c r="T261" s="70"/>
      <c r="U261" s="70"/>
      <c r="V261" s="70"/>
      <c r="W261" s="70"/>
    </row>
    <row r="262" ht="14.25" customHeight="1">
      <c r="A262" s="70"/>
      <c r="B262" s="70"/>
      <c r="C262" s="70"/>
      <c r="D262" s="70"/>
      <c r="E262" s="5"/>
      <c r="F262" s="70"/>
      <c r="G262" s="70"/>
      <c r="H262" s="70"/>
      <c r="I262" s="70"/>
      <c r="J262" s="70"/>
      <c r="K262" s="70"/>
      <c r="L262" s="70"/>
      <c r="M262" s="70"/>
      <c r="N262" s="70"/>
      <c r="O262" s="70"/>
      <c r="P262" s="70"/>
      <c r="Q262" s="70"/>
      <c r="R262" s="70"/>
      <c r="S262" s="70"/>
      <c r="T262" s="70"/>
      <c r="U262" s="70"/>
      <c r="V262" s="70"/>
      <c r="W262" s="70"/>
    </row>
    <row r="263" ht="14.25" customHeight="1">
      <c r="A263" s="70"/>
      <c r="B263" s="70"/>
      <c r="C263" s="70"/>
      <c r="D263" s="70"/>
      <c r="E263" s="5"/>
      <c r="F263" s="70"/>
      <c r="G263" s="70"/>
      <c r="H263" s="70"/>
      <c r="I263" s="70"/>
      <c r="J263" s="70"/>
      <c r="K263" s="70"/>
      <c r="L263" s="70"/>
      <c r="M263" s="70"/>
      <c r="N263" s="70"/>
      <c r="O263" s="70"/>
      <c r="P263" s="70"/>
      <c r="Q263" s="70"/>
      <c r="R263" s="70"/>
      <c r="S263" s="70"/>
      <c r="T263" s="70"/>
      <c r="U263" s="70"/>
      <c r="V263" s="70"/>
      <c r="W263" s="70"/>
    </row>
    <row r="264" ht="14.25" customHeight="1">
      <c r="A264" s="70"/>
      <c r="B264" s="70"/>
      <c r="C264" s="70"/>
      <c r="D264" s="70"/>
      <c r="E264" s="5"/>
      <c r="F264" s="70"/>
      <c r="G264" s="70"/>
      <c r="H264" s="70"/>
      <c r="I264" s="70"/>
      <c r="J264" s="70"/>
      <c r="K264" s="70"/>
      <c r="L264" s="70"/>
      <c r="M264" s="70"/>
      <c r="N264" s="70"/>
      <c r="O264" s="70"/>
      <c r="P264" s="70"/>
      <c r="Q264" s="70"/>
      <c r="R264" s="70"/>
      <c r="S264" s="70"/>
      <c r="T264" s="70"/>
      <c r="U264" s="70"/>
      <c r="V264" s="70"/>
      <c r="W264" s="70"/>
    </row>
    <row r="265" ht="14.25" customHeight="1">
      <c r="A265" s="70"/>
      <c r="B265" s="70"/>
      <c r="C265" s="70"/>
      <c r="D265" s="70"/>
      <c r="E265" s="5"/>
      <c r="F265" s="70"/>
      <c r="G265" s="70"/>
      <c r="H265" s="70"/>
      <c r="I265" s="70"/>
      <c r="J265" s="70"/>
      <c r="K265" s="70"/>
      <c r="L265" s="70"/>
      <c r="M265" s="70"/>
      <c r="N265" s="70"/>
      <c r="O265" s="70"/>
      <c r="P265" s="70"/>
      <c r="Q265" s="70"/>
      <c r="R265" s="70"/>
      <c r="S265" s="70"/>
      <c r="T265" s="70"/>
      <c r="U265" s="70"/>
      <c r="V265" s="70"/>
      <c r="W265" s="70"/>
    </row>
    <row r="266" ht="14.25" customHeight="1">
      <c r="A266" s="70"/>
      <c r="B266" s="70"/>
      <c r="C266" s="70"/>
      <c r="D266" s="70"/>
      <c r="E266" s="5"/>
      <c r="F266" s="70"/>
      <c r="G266" s="70"/>
      <c r="H266" s="70"/>
      <c r="I266" s="70"/>
      <c r="J266" s="70"/>
      <c r="K266" s="70"/>
      <c r="L266" s="70"/>
      <c r="M266" s="70"/>
      <c r="N266" s="70"/>
      <c r="O266" s="70"/>
      <c r="P266" s="70"/>
      <c r="Q266" s="70"/>
      <c r="R266" s="70"/>
      <c r="S266" s="70"/>
      <c r="T266" s="70"/>
      <c r="U266" s="70"/>
      <c r="V266" s="70"/>
      <c r="W266" s="70"/>
    </row>
    <row r="267" ht="14.25" customHeight="1">
      <c r="A267" s="70"/>
      <c r="B267" s="70"/>
      <c r="C267" s="70"/>
      <c r="D267" s="70"/>
      <c r="E267" s="5"/>
      <c r="F267" s="70"/>
      <c r="G267" s="70"/>
      <c r="H267" s="70"/>
      <c r="I267" s="70"/>
      <c r="J267" s="70"/>
      <c r="K267" s="70"/>
      <c r="L267" s="70"/>
      <c r="M267" s="70"/>
      <c r="N267" s="70"/>
      <c r="O267" s="70"/>
      <c r="P267" s="70"/>
      <c r="Q267" s="70"/>
      <c r="R267" s="70"/>
      <c r="S267" s="70"/>
      <c r="T267" s="70"/>
      <c r="U267" s="70"/>
      <c r="V267" s="70"/>
      <c r="W267" s="70"/>
    </row>
    <row r="268" ht="14.25" customHeight="1">
      <c r="A268" s="70"/>
      <c r="B268" s="70"/>
      <c r="C268" s="70"/>
      <c r="D268" s="70"/>
      <c r="E268" s="5"/>
      <c r="F268" s="70"/>
      <c r="G268" s="70"/>
      <c r="H268" s="70"/>
      <c r="I268" s="70"/>
      <c r="J268" s="70"/>
      <c r="K268" s="70"/>
      <c r="L268" s="70"/>
      <c r="M268" s="70"/>
      <c r="N268" s="70"/>
      <c r="O268" s="70"/>
      <c r="P268" s="70"/>
      <c r="Q268" s="70"/>
      <c r="R268" s="70"/>
      <c r="S268" s="70"/>
      <c r="T268" s="70"/>
      <c r="U268" s="70"/>
      <c r="V268" s="70"/>
      <c r="W268" s="70"/>
    </row>
    <row r="269" ht="14.25" customHeight="1">
      <c r="A269" s="70"/>
      <c r="B269" s="70"/>
      <c r="C269" s="70"/>
      <c r="D269" s="70"/>
      <c r="E269" s="5"/>
      <c r="F269" s="70"/>
      <c r="G269" s="70"/>
      <c r="H269" s="70"/>
      <c r="I269" s="70"/>
      <c r="J269" s="70"/>
      <c r="K269" s="70"/>
      <c r="L269" s="70"/>
      <c r="M269" s="70"/>
      <c r="N269" s="70"/>
      <c r="O269" s="70"/>
      <c r="P269" s="70"/>
      <c r="Q269" s="70"/>
      <c r="R269" s="70"/>
      <c r="S269" s="70"/>
      <c r="T269" s="70"/>
      <c r="U269" s="70"/>
      <c r="V269" s="70"/>
      <c r="W269" s="70"/>
    </row>
    <row r="270" ht="14.25" customHeight="1">
      <c r="A270" s="70"/>
      <c r="B270" s="70"/>
      <c r="C270" s="70"/>
      <c r="D270" s="70"/>
      <c r="E270" s="5"/>
      <c r="F270" s="70"/>
      <c r="G270" s="70"/>
      <c r="H270" s="70"/>
      <c r="I270" s="70"/>
      <c r="J270" s="70"/>
      <c r="K270" s="70"/>
      <c r="L270" s="70"/>
      <c r="M270" s="70"/>
      <c r="N270" s="70"/>
      <c r="O270" s="70"/>
      <c r="P270" s="70"/>
      <c r="Q270" s="70"/>
      <c r="R270" s="70"/>
      <c r="S270" s="70"/>
      <c r="T270" s="70"/>
      <c r="U270" s="70"/>
      <c r="V270" s="70"/>
      <c r="W270" s="70"/>
    </row>
    <row r="271" ht="14.25" customHeight="1">
      <c r="A271" s="70"/>
      <c r="B271" s="70"/>
      <c r="C271" s="70"/>
      <c r="D271" s="70"/>
      <c r="E271" s="5"/>
      <c r="F271" s="70"/>
      <c r="G271" s="70"/>
      <c r="H271" s="70"/>
      <c r="I271" s="70"/>
      <c r="J271" s="70"/>
      <c r="K271" s="70"/>
      <c r="L271" s="70"/>
      <c r="M271" s="70"/>
      <c r="N271" s="70"/>
      <c r="O271" s="70"/>
      <c r="P271" s="70"/>
      <c r="Q271" s="70"/>
      <c r="R271" s="70"/>
      <c r="S271" s="70"/>
      <c r="T271" s="70"/>
      <c r="U271" s="70"/>
      <c r="V271" s="70"/>
      <c r="W271" s="70"/>
    </row>
    <row r="272" ht="14.25" customHeight="1">
      <c r="A272" s="70"/>
      <c r="B272" s="70"/>
      <c r="C272" s="70"/>
      <c r="D272" s="70"/>
      <c r="E272" s="5"/>
      <c r="F272" s="70"/>
      <c r="G272" s="70"/>
      <c r="H272" s="70"/>
      <c r="I272" s="70"/>
      <c r="J272" s="70"/>
      <c r="K272" s="70"/>
      <c r="L272" s="70"/>
      <c r="M272" s="70"/>
      <c r="N272" s="70"/>
      <c r="O272" s="70"/>
      <c r="P272" s="70"/>
      <c r="Q272" s="70"/>
      <c r="R272" s="70"/>
      <c r="S272" s="70"/>
      <c r="T272" s="70"/>
      <c r="U272" s="70"/>
      <c r="V272" s="70"/>
      <c r="W272" s="70"/>
    </row>
    <row r="273" ht="14.25" customHeight="1">
      <c r="A273" s="70"/>
      <c r="B273" s="70"/>
      <c r="C273" s="70"/>
      <c r="D273" s="70"/>
      <c r="E273" s="5"/>
      <c r="F273" s="70"/>
      <c r="G273" s="70"/>
      <c r="H273" s="70"/>
      <c r="I273" s="70"/>
      <c r="J273" s="70"/>
      <c r="K273" s="70"/>
      <c r="L273" s="70"/>
      <c r="M273" s="70"/>
      <c r="N273" s="70"/>
      <c r="O273" s="70"/>
      <c r="P273" s="70"/>
      <c r="Q273" s="70"/>
      <c r="R273" s="70"/>
      <c r="S273" s="70"/>
      <c r="T273" s="70"/>
      <c r="U273" s="70"/>
      <c r="V273" s="70"/>
      <c r="W273" s="70"/>
    </row>
    <row r="274" ht="14.25" customHeight="1">
      <c r="A274" s="70"/>
      <c r="B274" s="70"/>
      <c r="C274" s="70"/>
      <c r="D274" s="70"/>
      <c r="E274" s="5"/>
      <c r="F274" s="70"/>
      <c r="G274" s="70"/>
      <c r="H274" s="70"/>
      <c r="I274" s="70"/>
      <c r="J274" s="70"/>
      <c r="K274" s="70"/>
      <c r="L274" s="70"/>
      <c r="M274" s="70"/>
      <c r="N274" s="70"/>
      <c r="O274" s="70"/>
      <c r="P274" s="70"/>
      <c r="Q274" s="70"/>
      <c r="R274" s="70"/>
      <c r="S274" s="70"/>
      <c r="T274" s="70"/>
      <c r="U274" s="70"/>
      <c r="V274" s="70"/>
      <c r="W274" s="70"/>
    </row>
    <row r="275" ht="14.25" customHeight="1">
      <c r="A275" s="70"/>
      <c r="B275" s="70"/>
      <c r="C275" s="70"/>
      <c r="D275" s="70"/>
      <c r="E275" s="5"/>
      <c r="F275" s="70"/>
      <c r="G275" s="70"/>
      <c r="H275" s="70"/>
      <c r="I275" s="70"/>
      <c r="J275" s="70"/>
      <c r="K275" s="70"/>
      <c r="L275" s="70"/>
      <c r="M275" s="70"/>
      <c r="N275" s="70"/>
      <c r="O275" s="70"/>
      <c r="P275" s="70"/>
      <c r="Q275" s="70"/>
      <c r="R275" s="70"/>
      <c r="S275" s="70"/>
      <c r="T275" s="70"/>
      <c r="U275" s="70"/>
      <c r="V275" s="70"/>
      <c r="W275" s="70"/>
    </row>
    <row r="276" ht="14.25" customHeight="1">
      <c r="A276" s="70"/>
      <c r="B276" s="70"/>
      <c r="C276" s="70"/>
      <c r="D276" s="70"/>
      <c r="E276" s="5"/>
      <c r="F276" s="70"/>
      <c r="G276" s="70"/>
      <c r="H276" s="70"/>
      <c r="I276" s="70"/>
      <c r="J276" s="70"/>
      <c r="K276" s="70"/>
      <c r="L276" s="70"/>
      <c r="M276" s="70"/>
      <c r="N276" s="70"/>
      <c r="O276" s="70"/>
      <c r="P276" s="70"/>
      <c r="Q276" s="70"/>
      <c r="R276" s="70"/>
      <c r="S276" s="70"/>
      <c r="T276" s="70"/>
      <c r="U276" s="70"/>
      <c r="V276" s="70"/>
      <c r="W276" s="70"/>
    </row>
    <row r="277" ht="14.25" customHeight="1">
      <c r="A277" s="70"/>
      <c r="B277" s="70"/>
      <c r="C277" s="70"/>
      <c r="D277" s="70"/>
      <c r="E277" s="5"/>
      <c r="F277" s="70"/>
      <c r="G277" s="70"/>
      <c r="H277" s="70"/>
      <c r="I277" s="70"/>
      <c r="J277" s="70"/>
      <c r="K277" s="70"/>
      <c r="L277" s="70"/>
      <c r="M277" s="70"/>
      <c r="N277" s="70"/>
      <c r="O277" s="70"/>
      <c r="P277" s="70"/>
      <c r="Q277" s="70"/>
      <c r="R277" s="70"/>
      <c r="S277" s="70"/>
      <c r="T277" s="70"/>
      <c r="U277" s="70"/>
      <c r="V277" s="70"/>
      <c r="W277" s="70"/>
    </row>
    <row r="278" ht="14.25" customHeight="1">
      <c r="A278" s="70"/>
      <c r="B278" s="70"/>
      <c r="C278" s="70"/>
      <c r="D278" s="70"/>
      <c r="E278" s="5"/>
      <c r="F278" s="70"/>
      <c r="G278" s="70"/>
      <c r="H278" s="70"/>
      <c r="I278" s="70"/>
      <c r="J278" s="70"/>
      <c r="K278" s="70"/>
      <c r="L278" s="70"/>
      <c r="M278" s="70"/>
      <c r="N278" s="70"/>
      <c r="O278" s="70"/>
      <c r="P278" s="70"/>
      <c r="Q278" s="70"/>
      <c r="R278" s="70"/>
      <c r="S278" s="70"/>
      <c r="T278" s="70"/>
      <c r="U278" s="70"/>
      <c r="V278" s="70"/>
      <c r="W278" s="70"/>
    </row>
    <row r="279" ht="14.25" customHeight="1">
      <c r="A279" s="70"/>
      <c r="B279" s="70"/>
      <c r="C279" s="70"/>
      <c r="D279" s="70"/>
      <c r="E279" s="5"/>
      <c r="F279" s="70"/>
      <c r="G279" s="70"/>
      <c r="H279" s="70"/>
      <c r="I279" s="70"/>
      <c r="J279" s="70"/>
      <c r="K279" s="70"/>
      <c r="L279" s="70"/>
      <c r="M279" s="70"/>
      <c r="N279" s="70"/>
      <c r="O279" s="70"/>
      <c r="P279" s="70"/>
      <c r="Q279" s="70"/>
      <c r="R279" s="70"/>
      <c r="S279" s="70"/>
      <c r="T279" s="70"/>
      <c r="U279" s="70"/>
      <c r="V279" s="70"/>
      <c r="W279" s="70"/>
    </row>
    <row r="280" ht="14.25" customHeight="1">
      <c r="A280" s="70"/>
      <c r="B280" s="70"/>
      <c r="C280" s="70"/>
      <c r="D280" s="70"/>
      <c r="E280" s="5"/>
      <c r="F280" s="70"/>
      <c r="G280" s="70"/>
      <c r="H280" s="70"/>
      <c r="I280" s="70"/>
      <c r="J280" s="70"/>
      <c r="K280" s="70"/>
      <c r="L280" s="70"/>
      <c r="M280" s="70"/>
      <c r="N280" s="70"/>
      <c r="O280" s="70"/>
      <c r="P280" s="70"/>
      <c r="Q280" s="70"/>
      <c r="R280" s="70"/>
      <c r="S280" s="70"/>
      <c r="T280" s="70"/>
      <c r="U280" s="70"/>
      <c r="V280" s="70"/>
      <c r="W280" s="70"/>
    </row>
    <row r="281" ht="14.25" customHeight="1">
      <c r="A281" s="70"/>
      <c r="B281" s="70"/>
      <c r="C281" s="70"/>
      <c r="D281" s="70"/>
      <c r="E281" s="5"/>
      <c r="F281" s="70"/>
      <c r="G281" s="70"/>
      <c r="H281" s="70"/>
      <c r="I281" s="70"/>
      <c r="J281" s="70"/>
      <c r="K281" s="70"/>
      <c r="L281" s="70"/>
      <c r="M281" s="70"/>
      <c r="N281" s="70"/>
      <c r="O281" s="70"/>
      <c r="P281" s="70"/>
      <c r="Q281" s="70"/>
      <c r="R281" s="70"/>
      <c r="S281" s="70"/>
      <c r="T281" s="70"/>
      <c r="U281" s="70"/>
      <c r="V281" s="70"/>
      <c r="W281" s="70"/>
    </row>
    <row r="282" ht="14.25" customHeight="1">
      <c r="A282" s="70"/>
      <c r="B282" s="70"/>
      <c r="C282" s="70"/>
      <c r="D282" s="70"/>
      <c r="E282" s="5"/>
      <c r="F282" s="70"/>
      <c r="G282" s="70"/>
      <c r="H282" s="70"/>
      <c r="I282" s="70"/>
      <c r="J282" s="70"/>
      <c r="K282" s="70"/>
      <c r="L282" s="70"/>
      <c r="M282" s="70"/>
      <c r="N282" s="70"/>
      <c r="O282" s="70"/>
      <c r="P282" s="70"/>
      <c r="Q282" s="70"/>
      <c r="R282" s="70"/>
      <c r="S282" s="70"/>
      <c r="T282" s="70"/>
      <c r="U282" s="70"/>
      <c r="V282" s="70"/>
      <c r="W282" s="70"/>
    </row>
    <row r="283" ht="14.25" customHeight="1">
      <c r="A283" s="70"/>
      <c r="B283" s="70"/>
      <c r="C283" s="70"/>
      <c r="D283" s="70"/>
      <c r="E283" s="5"/>
      <c r="F283" s="70"/>
      <c r="G283" s="70"/>
      <c r="H283" s="70"/>
      <c r="I283" s="70"/>
      <c r="J283" s="70"/>
      <c r="K283" s="70"/>
      <c r="L283" s="70"/>
      <c r="M283" s="70"/>
      <c r="N283" s="70"/>
      <c r="O283" s="70"/>
      <c r="P283" s="70"/>
      <c r="Q283" s="70"/>
      <c r="R283" s="70"/>
      <c r="S283" s="70"/>
      <c r="T283" s="70"/>
      <c r="U283" s="70"/>
      <c r="V283" s="70"/>
      <c r="W283" s="70"/>
    </row>
    <row r="284" ht="14.25" customHeight="1">
      <c r="A284" s="70"/>
      <c r="B284" s="70"/>
      <c r="C284" s="70"/>
      <c r="D284" s="70"/>
      <c r="E284" s="5"/>
      <c r="F284" s="70"/>
      <c r="G284" s="70"/>
      <c r="H284" s="70"/>
      <c r="I284" s="70"/>
      <c r="J284" s="70"/>
      <c r="K284" s="70"/>
      <c r="L284" s="70"/>
      <c r="M284" s="70"/>
      <c r="N284" s="70"/>
      <c r="O284" s="70"/>
      <c r="P284" s="70"/>
      <c r="Q284" s="70"/>
      <c r="R284" s="70"/>
      <c r="S284" s="70"/>
      <c r="T284" s="70"/>
      <c r="U284" s="70"/>
      <c r="V284" s="70"/>
      <c r="W284" s="70"/>
    </row>
    <row r="285" ht="14.25" customHeight="1">
      <c r="A285" s="70"/>
      <c r="B285" s="70"/>
      <c r="C285" s="70"/>
      <c r="D285" s="70"/>
      <c r="E285" s="5"/>
      <c r="F285" s="70"/>
      <c r="G285" s="70"/>
      <c r="H285" s="70"/>
      <c r="I285" s="70"/>
      <c r="J285" s="70"/>
      <c r="K285" s="70"/>
      <c r="L285" s="70"/>
      <c r="M285" s="70"/>
      <c r="N285" s="70"/>
      <c r="O285" s="70"/>
      <c r="P285" s="70"/>
      <c r="Q285" s="70"/>
      <c r="R285" s="70"/>
      <c r="S285" s="70"/>
      <c r="T285" s="70"/>
      <c r="U285" s="70"/>
      <c r="V285" s="70"/>
      <c r="W285" s="70"/>
    </row>
    <row r="286" ht="14.25" customHeight="1">
      <c r="A286" s="70"/>
      <c r="B286" s="70"/>
      <c r="C286" s="70"/>
      <c r="D286" s="70"/>
      <c r="E286" s="5"/>
      <c r="F286" s="70"/>
      <c r="G286" s="70"/>
      <c r="H286" s="70"/>
      <c r="I286" s="70"/>
      <c r="J286" s="70"/>
      <c r="K286" s="70"/>
      <c r="L286" s="70"/>
      <c r="M286" s="70"/>
      <c r="N286" s="70"/>
      <c r="O286" s="70"/>
      <c r="P286" s="70"/>
      <c r="Q286" s="70"/>
      <c r="R286" s="70"/>
      <c r="S286" s="70"/>
      <c r="T286" s="70"/>
      <c r="U286" s="70"/>
      <c r="V286" s="70"/>
      <c r="W286" s="70"/>
    </row>
    <row r="287" ht="14.25" customHeight="1">
      <c r="A287" s="70"/>
      <c r="B287" s="70"/>
      <c r="C287" s="70"/>
      <c r="D287" s="70"/>
      <c r="E287" s="5"/>
      <c r="F287" s="70"/>
      <c r="G287" s="70"/>
      <c r="H287" s="70"/>
      <c r="I287" s="70"/>
      <c r="J287" s="70"/>
      <c r="K287" s="70"/>
      <c r="L287" s="70"/>
      <c r="M287" s="70"/>
      <c r="N287" s="70"/>
      <c r="O287" s="70"/>
      <c r="P287" s="70"/>
      <c r="Q287" s="70"/>
      <c r="R287" s="70"/>
      <c r="S287" s="70"/>
      <c r="T287" s="70"/>
      <c r="U287" s="70"/>
      <c r="V287" s="70"/>
      <c r="W287" s="70"/>
    </row>
    <row r="288" ht="14.25" customHeight="1">
      <c r="A288" s="70"/>
      <c r="B288" s="70"/>
      <c r="C288" s="70"/>
      <c r="D288" s="70"/>
      <c r="E288" s="5"/>
      <c r="F288" s="70"/>
      <c r="G288" s="70"/>
      <c r="H288" s="70"/>
      <c r="I288" s="70"/>
      <c r="J288" s="70"/>
      <c r="K288" s="70"/>
      <c r="L288" s="70"/>
      <c r="M288" s="70"/>
      <c r="N288" s="70"/>
      <c r="O288" s="70"/>
      <c r="P288" s="70"/>
      <c r="Q288" s="70"/>
      <c r="R288" s="70"/>
      <c r="S288" s="70"/>
      <c r="T288" s="70"/>
      <c r="U288" s="70"/>
      <c r="V288" s="70"/>
      <c r="W288" s="70"/>
    </row>
    <row r="289" ht="14.25" customHeight="1">
      <c r="A289" s="70"/>
      <c r="B289" s="70"/>
      <c r="C289" s="70"/>
      <c r="D289" s="70"/>
      <c r="E289" s="5"/>
      <c r="F289" s="70"/>
      <c r="G289" s="70"/>
      <c r="H289" s="70"/>
      <c r="I289" s="70"/>
      <c r="J289" s="70"/>
      <c r="K289" s="70"/>
      <c r="L289" s="70"/>
      <c r="M289" s="70"/>
      <c r="N289" s="70"/>
      <c r="O289" s="70"/>
      <c r="P289" s="70"/>
      <c r="Q289" s="70"/>
      <c r="R289" s="70"/>
      <c r="S289" s="70"/>
      <c r="T289" s="70"/>
      <c r="U289" s="70"/>
      <c r="V289" s="70"/>
      <c r="W289" s="70"/>
    </row>
    <row r="290" ht="14.25" customHeight="1">
      <c r="A290" s="70"/>
      <c r="B290" s="70"/>
      <c r="C290" s="70"/>
      <c r="D290" s="70"/>
      <c r="E290" s="5"/>
      <c r="F290" s="70"/>
      <c r="G290" s="70"/>
      <c r="H290" s="70"/>
      <c r="I290" s="70"/>
      <c r="J290" s="70"/>
      <c r="K290" s="70"/>
      <c r="L290" s="70"/>
      <c r="M290" s="70"/>
      <c r="N290" s="70"/>
      <c r="O290" s="70"/>
      <c r="P290" s="70"/>
      <c r="Q290" s="70"/>
      <c r="R290" s="70"/>
      <c r="S290" s="70"/>
      <c r="T290" s="70"/>
      <c r="U290" s="70"/>
      <c r="V290" s="70"/>
      <c r="W290" s="70"/>
    </row>
    <row r="291" ht="14.25" customHeight="1">
      <c r="A291" s="70"/>
      <c r="B291" s="70"/>
      <c r="C291" s="70"/>
      <c r="D291" s="70"/>
      <c r="E291" s="5"/>
      <c r="F291" s="70"/>
      <c r="G291" s="70"/>
      <c r="H291" s="70"/>
      <c r="I291" s="70"/>
      <c r="J291" s="70"/>
      <c r="K291" s="70"/>
      <c r="L291" s="70"/>
      <c r="M291" s="70"/>
      <c r="N291" s="70"/>
      <c r="O291" s="70"/>
      <c r="P291" s="70"/>
      <c r="Q291" s="70"/>
      <c r="R291" s="70"/>
      <c r="S291" s="70"/>
      <c r="T291" s="70"/>
      <c r="U291" s="70"/>
      <c r="V291" s="70"/>
      <c r="W291" s="70"/>
    </row>
    <row r="292" ht="14.25" customHeight="1">
      <c r="A292" s="70"/>
      <c r="B292" s="70"/>
      <c r="C292" s="70"/>
      <c r="D292" s="70"/>
      <c r="E292" s="5"/>
      <c r="F292" s="70"/>
      <c r="G292" s="70"/>
      <c r="H292" s="70"/>
      <c r="I292" s="70"/>
      <c r="J292" s="70"/>
      <c r="K292" s="70"/>
      <c r="L292" s="70"/>
      <c r="M292" s="70"/>
      <c r="N292" s="70"/>
      <c r="O292" s="70"/>
      <c r="P292" s="70"/>
      <c r="Q292" s="70"/>
      <c r="R292" s="70"/>
      <c r="S292" s="70"/>
      <c r="T292" s="70"/>
      <c r="U292" s="70"/>
      <c r="V292" s="70"/>
      <c r="W292" s="70"/>
    </row>
    <row r="293" ht="14.25" customHeight="1">
      <c r="A293" s="70"/>
      <c r="B293" s="70"/>
      <c r="C293" s="70"/>
      <c r="D293" s="70"/>
      <c r="E293" s="5"/>
      <c r="F293" s="70"/>
      <c r="G293" s="70"/>
      <c r="H293" s="70"/>
      <c r="I293" s="70"/>
      <c r="J293" s="70"/>
      <c r="K293" s="70"/>
      <c r="L293" s="70"/>
      <c r="M293" s="70"/>
      <c r="N293" s="70"/>
      <c r="O293" s="70"/>
      <c r="P293" s="70"/>
      <c r="Q293" s="70"/>
      <c r="R293" s="70"/>
      <c r="S293" s="70"/>
      <c r="T293" s="70"/>
      <c r="U293" s="70"/>
      <c r="V293" s="70"/>
      <c r="W293" s="70"/>
    </row>
    <row r="294" ht="14.25" customHeight="1">
      <c r="A294" s="70"/>
      <c r="B294" s="70"/>
      <c r="C294" s="70"/>
      <c r="D294" s="70"/>
      <c r="E294" s="5"/>
      <c r="F294" s="70"/>
      <c r="G294" s="70"/>
      <c r="H294" s="70"/>
      <c r="I294" s="70"/>
      <c r="J294" s="70"/>
      <c r="K294" s="70"/>
      <c r="L294" s="70"/>
      <c r="M294" s="70"/>
      <c r="N294" s="70"/>
      <c r="O294" s="70"/>
      <c r="P294" s="70"/>
      <c r="Q294" s="70"/>
      <c r="R294" s="70"/>
      <c r="S294" s="70"/>
      <c r="T294" s="70"/>
      <c r="U294" s="70"/>
      <c r="V294" s="70"/>
      <c r="W294" s="70"/>
    </row>
    <row r="295" ht="14.25" customHeight="1">
      <c r="A295" s="70"/>
      <c r="B295" s="70"/>
      <c r="C295" s="70"/>
      <c r="D295" s="70"/>
      <c r="E295" s="5"/>
      <c r="F295" s="70"/>
      <c r="G295" s="70"/>
      <c r="H295" s="70"/>
      <c r="I295" s="70"/>
      <c r="J295" s="70"/>
      <c r="K295" s="70"/>
      <c r="L295" s="70"/>
      <c r="M295" s="70"/>
      <c r="N295" s="70"/>
      <c r="O295" s="70"/>
      <c r="P295" s="70"/>
      <c r="Q295" s="70"/>
      <c r="R295" s="70"/>
      <c r="S295" s="70"/>
      <c r="T295" s="70"/>
      <c r="U295" s="70"/>
      <c r="V295" s="70"/>
      <c r="W295" s="70"/>
    </row>
    <row r="296" ht="14.25" customHeight="1">
      <c r="A296" s="70"/>
      <c r="B296" s="70"/>
      <c r="C296" s="70"/>
      <c r="D296" s="70"/>
      <c r="E296" s="5"/>
      <c r="F296" s="70"/>
      <c r="G296" s="70"/>
      <c r="H296" s="70"/>
      <c r="I296" s="70"/>
      <c r="J296" s="70"/>
      <c r="K296" s="70"/>
      <c r="L296" s="70"/>
      <c r="M296" s="70"/>
      <c r="N296" s="70"/>
      <c r="O296" s="70"/>
      <c r="P296" s="70"/>
      <c r="Q296" s="70"/>
      <c r="R296" s="70"/>
      <c r="S296" s="70"/>
      <c r="T296" s="70"/>
      <c r="U296" s="70"/>
      <c r="V296" s="70"/>
      <c r="W296" s="70"/>
    </row>
    <row r="297" ht="14.25" customHeight="1">
      <c r="A297" s="70"/>
      <c r="B297" s="70"/>
      <c r="C297" s="70"/>
      <c r="D297" s="70"/>
      <c r="E297" s="5"/>
      <c r="F297" s="70"/>
      <c r="G297" s="70"/>
      <c r="H297" s="70"/>
      <c r="I297" s="70"/>
      <c r="J297" s="70"/>
      <c r="K297" s="70"/>
      <c r="L297" s="70"/>
      <c r="M297" s="70"/>
      <c r="N297" s="70"/>
      <c r="O297" s="70"/>
      <c r="P297" s="70"/>
      <c r="Q297" s="70"/>
      <c r="R297" s="70"/>
      <c r="S297" s="70"/>
      <c r="T297" s="70"/>
      <c r="U297" s="70"/>
      <c r="V297" s="70"/>
      <c r="W297" s="70"/>
    </row>
    <row r="298" ht="14.25" customHeight="1">
      <c r="A298" s="70"/>
      <c r="B298" s="70"/>
      <c r="C298" s="70"/>
      <c r="D298" s="70"/>
      <c r="E298" s="5"/>
      <c r="F298" s="70"/>
      <c r="G298" s="70"/>
      <c r="H298" s="70"/>
      <c r="I298" s="70"/>
      <c r="J298" s="70"/>
      <c r="K298" s="70"/>
      <c r="L298" s="70"/>
      <c r="M298" s="70"/>
      <c r="N298" s="70"/>
      <c r="O298" s="70"/>
      <c r="P298" s="70"/>
      <c r="Q298" s="70"/>
      <c r="R298" s="70"/>
      <c r="S298" s="70"/>
      <c r="T298" s="70"/>
      <c r="U298" s="70"/>
      <c r="V298" s="70"/>
      <c r="W298" s="70"/>
    </row>
    <row r="299" ht="14.25" customHeight="1">
      <c r="A299" s="70"/>
      <c r="B299" s="70"/>
      <c r="C299" s="70"/>
      <c r="D299" s="70"/>
      <c r="E299" s="5"/>
      <c r="F299" s="70"/>
      <c r="G299" s="70"/>
      <c r="H299" s="70"/>
      <c r="I299" s="70"/>
      <c r="J299" s="70"/>
      <c r="K299" s="70"/>
      <c r="L299" s="70"/>
      <c r="M299" s="70"/>
      <c r="N299" s="70"/>
      <c r="O299" s="70"/>
      <c r="P299" s="70"/>
      <c r="Q299" s="70"/>
      <c r="R299" s="70"/>
      <c r="S299" s="70"/>
      <c r="T299" s="70"/>
      <c r="U299" s="70"/>
      <c r="V299" s="70"/>
      <c r="W299" s="70"/>
    </row>
    <row r="300" ht="14.25" customHeight="1">
      <c r="A300" s="70"/>
      <c r="B300" s="70"/>
      <c r="C300" s="70"/>
      <c r="D300" s="70"/>
      <c r="E300" s="5"/>
      <c r="F300" s="70"/>
      <c r="G300" s="70"/>
      <c r="H300" s="70"/>
      <c r="I300" s="70"/>
      <c r="J300" s="70"/>
      <c r="K300" s="70"/>
      <c r="L300" s="70"/>
      <c r="M300" s="70"/>
      <c r="N300" s="70"/>
      <c r="O300" s="70"/>
      <c r="P300" s="70"/>
      <c r="Q300" s="70"/>
      <c r="R300" s="70"/>
      <c r="S300" s="70"/>
      <c r="T300" s="70"/>
      <c r="U300" s="70"/>
      <c r="V300" s="70"/>
      <c r="W300" s="70"/>
    </row>
    <row r="301" ht="14.25" customHeight="1">
      <c r="A301" s="70"/>
      <c r="B301" s="70"/>
      <c r="C301" s="70"/>
      <c r="D301" s="70"/>
      <c r="E301" s="5"/>
      <c r="F301" s="70"/>
      <c r="G301" s="70"/>
      <c r="H301" s="70"/>
      <c r="I301" s="70"/>
      <c r="J301" s="70"/>
      <c r="K301" s="70"/>
      <c r="L301" s="70"/>
      <c r="M301" s="70"/>
      <c r="N301" s="70"/>
      <c r="O301" s="70"/>
      <c r="P301" s="70"/>
      <c r="Q301" s="70"/>
      <c r="R301" s="70"/>
      <c r="S301" s="70"/>
      <c r="T301" s="70"/>
      <c r="U301" s="70"/>
      <c r="V301" s="70"/>
      <c r="W301" s="70"/>
    </row>
    <row r="302" ht="14.25" customHeight="1">
      <c r="A302" s="70"/>
      <c r="B302" s="70"/>
      <c r="C302" s="70"/>
      <c r="D302" s="70"/>
      <c r="E302" s="5"/>
      <c r="F302" s="70"/>
      <c r="G302" s="70"/>
      <c r="H302" s="70"/>
      <c r="I302" s="70"/>
      <c r="J302" s="70"/>
      <c r="K302" s="70"/>
      <c r="L302" s="70"/>
      <c r="M302" s="70"/>
      <c r="N302" s="70"/>
      <c r="O302" s="70"/>
      <c r="P302" s="70"/>
      <c r="Q302" s="70"/>
      <c r="R302" s="70"/>
      <c r="S302" s="70"/>
      <c r="T302" s="70"/>
      <c r="U302" s="70"/>
      <c r="V302" s="70"/>
      <c r="W302" s="70"/>
    </row>
    <row r="303" ht="14.25" customHeight="1">
      <c r="A303" s="70"/>
      <c r="B303" s="70"/>
      <c r="C303" s="70"/>
      <c r="D303" s="70"/>
      <c r="E303" s="5"/>
      <c r="F303" s="70"/>
      <c r="G303" s="70"/>
      <c r="H303" s="70"/>
      <c r="I303" s="70"/>
      <c r="J303" s="70"/>
      <c r="K303" s="70"/>
      <c r="L303" s="70"/>
      <c r="M303" s="70"/>
      <c r="N303" s="70"/>
      <c r="O303" s="70"/>
      <c r="P303" s="70"/>
      <c r="Q303" s="70"/>
      <c r="R303" s="70"/>
      <c r="S303" s="70"/>
      <c r="T303" s="70"/>
      <c r="U303" s="70"/>
      <c r="V303" s="70"/>
      <c r="W303" s="70"/>
    </row>
    <row r="304" ht="14.25" customHeight="1">
      <c r="A304" s="70"/>
      <c r="B304" s="70"/>
      <c r="C304" s="70"/>
      <c r="D304" s="70"/>
      <c r="E304" s="5"/>
      <c r="F304" s="70"/>
      <c r="G304" s="70"/>
      <c r="H304" s="70"/>
      <c r="I304" s="70"/>
      <c r="J304" s="70"/>
      <c r="K304" s="70"/>
      <c r="L304" s="70"/>
      <c r="M304" s="70"/>
      <c r="N304" s="70"/>
      <c r="O304" s="70"/>
      <c r="P304" s="70"/>
      <c r="Q304" s="70"/>
      <c r="R304" s="70"/>
      <c r="S304" s="70"/>
      <c r="T304" s="70"/>
      <c r="U304" s="70"/>
      <c r="V304" s="70"/>
      <c r="W304" s="70"/>
    </row>
    <row r="305" ht="14.25" customHeight="1">
      <c r="A305" s="70"/>
      <c r="B305" s="70"/>
      <c r="C305" s="70"/>
      <c r="D305" s="70"/>
      <c r="E305" s="5"/>
      <c r="F305" s="70"/>
      <c r="G305" s="70"/>
      <c r="H305" s="70"/>
      <c r="I305" s="70"/>
      <c r="J305" s="70"/>
      <c r="K305" s="70"/>
      <c r="L305" s="70"/>
      <c r="M305" s="70"/>
      <c r="N305" s="70"/>
      <c r="O305" s="70"/>
      <c r="P305" s="70"/>
      <c r="Q305" s="70"/>
      <c r="R305" s="70"/>
      <c r="S305" s="70"/>
      <c r="T305" s="70"/>
      <c r="U305" s="70"/>
      <c r="V305" s="70"/>
      <c r="W305" s="70"/>
    </row>
    <row r="306" ht="14.25" customHeight="1">
      <c r="A306" s="70"/>
      <c r="B306" s="70"/>
      <c r="C306" s="70"/>
      <c r="D306" s="70"/>
      <c r="E306" s="5"/>
      <c r="F306" s="70"/>
      <c r="G306" s="70"/>
      <c r="H306" s="70"/>
      <c r="I306" s="70"/>
      <c r="J306" s="70"/>
      <c r="K306" s="70"/>
      <c r="L306" s="70"/>
      <c r="M306" s="70"/>
      <c r="N306" s="70"/>
      <c r="O306" s="70"/>
      <c r="P306" s="70"/>
      <c r="Q306" s="70"/>
      <c r="R306" s="70"/>
      <c r="S306" s="70"/>
      <c r="T306" s="70"/>
      <c r="U306" s="70"/>
      <c r="V306" s="70"/>
      <c r="W306" s="70"/>
    </row>
    <row r="307" ht="14.25" customHeight="1">
      <c r="A307" s="70"/>
      <c r="B307" s="70"/>
      <c r="C307" s="70"/>
      <c r="D307" s="70"/>
      <c r="E307" s="5"/>
      <c r="F307" s="70"/>
      <c r="G307" s="70"/>
      <c r="H307" s="70"/>
      <c r="I307" s="70"/>
      <c r="J307" s="70"/>
      <c r="K307" s="70"/>
      <c r="L307" s="70"/>
      <c r="M307" s="70"/>
      <c r="N307" s="70"/>
      <c r="O307" s="70"/>
      <c r="P307" s="70"/>
      <c r="Q307" s="70"/>
      <c r="R307" s="70"/>
      <c r="S307" s="70"/>
      <c r="T307" s="70"/>
      <c r="U307" s="70"/>
      <c r="V307" s="70"/>
      <c r="W307" s="70"/>
    </row>
    <row r="308" ht="14.25" customHeight="1">
      <c r="A308" s="70"/>
      <c r="B308" s="70"/>
      <c r="C308" s="70"/>
      <c r="D308" s="70"/>
      <c r="E308" s="5"/>
      <c r="F308" s="70"/>
      <c r="G308" s="70"/>
      <c r="H308" s="70"/>
      <c r="I308" s="70"/>
      <c r="J308" s="70"/>
      <c r="K308" s="70"/>
      <c r="L308" s="70"/>
      <c r="M308" s="70"/>
      <c r="N308" s="70"/>
      <c r="O308" s="70"/>
      <c r="P308" s="70"/>
      <c r="Q308" s="70"/>
      <c r="R308" s="70"/>
      <c r="S308" s="70"/>
      <c r="T308" s="70"/>
      <c r="U308" s="70"/>
      <c r="V308" s="70"/>
      <c r="W308" s="70"/>
    </row>
    <row r="309" ht="14.25" customHeight="1">
      <c r="A309" s="70"/>
      <c r="B309" s="70"/>
      <c r="C309" s="70"/>
      <c r="D309" s="70"/>
      <c r="E309" s="5"/>
      <c r="F309" s="70"/>
      <c r="G309" s="70"/>
      <c r="H309" s="70"/>
      <c r="I309" s="70"/>
      <c r="J309" s="70"/>
      <c r="K309" s="70"/>
      <c r="L309" s="70"/>
      <c r="M309" s="70"/>
      <c r="N309" s="70"/>
      <c r="O309" s="70"/>
      <c r="P309" s="70"/>
      <c r="Q309" s="70"/>
      <c r="R309" s="70"/>
      <c r="S309" s="70"/>
      <c r="T309" s="70"/>
      <c r="U309" s="70"/>
      <c r="V309" s="70"/>
      <c r="W309" s="70"/>
    </row>
    <row r="310" ht="14.25" customHeight="1">
      <c r="A310" s="70"/>
      <c r="B310" s="70"/>
      <c r="C310" s="70"/>
      <c r="D310" s="70"/>
      <c r="E310" s="5"/>
      <c r="F310" s="70"/>
      <c r="G310" s="70"/>
      <c r="H310" s="70"/>
      <c r="I310" s="70"/>
      <c r="J310" s="70"/>
      <c r="K310" s="70"/>
      <c r="L310" s="70"/>
      <c r="M310" s="70"/>
      <c r="N310" s="70"/>
      <c r="O310" s="70"/>
      <c r="P310" s="70"/>
      <c r="Q310" s="70"/>
      <c r="R310" s="70"/>
      <c r="S310" s="70"/>
      <c r="T310" s="70"/>
      <c r="U310" s="70"/>
      <c r="V310" s="70"/>
      <c r="W310" s="70"/>
    </row>
    <row r="311" ht="14.25" customHeight="1">
      <c r="A311" s="70"/>
      <c r="B311" s="70"/>
      <c r="C311" s="70"/>
      <c r="D311" s="70"/>
      <c r="E311" s="5"/>
      <c r="F311" s="70"/>
      <c r="G311" s="70"/>
      <c r="H311" s="70"/>
      <c r="I311" s="70"/>
      <c r="J311" s="70"/>
      <c r="K311" s="70"/>
      <c r="L311" s="70"/>
      <c r="M311" s="70"/>
      <c r="N311" s="70"/>
      <c r="O311" s="70"/>
      <c r="P311" s="70"/>
      <c r="Q311" s="70"/>
      <c r="R311" s="70"/>
      <c r="S311" s="70"/>
      <c r="T311" s="70"/>
      <c r="U311" s="70"/>
      <c r="V311" s="70"/>
      <c r="W311" s="70"/>
    </row>
    <row r="312" ht="14.25" customHeight="1">
      <c r="A312" s="70"/>
      <c r="B312" s="70"/>
      <c r="C312" s="70"/>
      <c r="D312" s="70"/>
      <c r="E312" s="5"/>
      <c r="F312" s="70"/>
      <c r="G312" s="70"/>
      <c r="H312" s="70"/>
      <c r="I312" s="70"/>
      <c r="J312" s="70"/>
      <c r="K312" s="70"/>
      <c r="L312" s="70"/>
      <c r="M312" s="70"/>
      <c r="N312" s="70"/>
      <c r="O312" s="70"/>
      <c r="P312" s="70"/>
      <c r="Q312" s="70"/>
      <c r="R312" s="70"/>
      <c r="S312" s="70"/>
      <c r="T312" s="70"/>
      <c r="U312" s="70"/>
      <c r="V312" s="70"/>
      <c r="W312" s="70"/>
    </row>
    <row r="313" ht="14.25" customHeight="1">
      <c r="A313" s="70"/>
      <c r="B313" s="70"/>
      <c r="C313" s="70"/>
      <c r="D313" s="70"/>
      <c r="E313" s="5"/>
      <c r="F313" s="70"/>
      <c r="G313" s="70"/>
      <c r="H313" s="70"/>
      <c r="I313" s="70"/>
      <c r="J313" s="70"/>
      <c r="K313" s="70"/>
      <c r="L313" s="70"/>
      <c r="M313" s="70"/>
      <c r="N313" s="70"/>
      <c r="O313" s="70"/>
      <c r="P313" s="70"/>
      <c r="Q313" s="70"/>
      <c r="R313" s="70"/>
      <c r="S313" s="70"/>
      <c r="T313" s="70"/>
      <c r="U313" s="70"/>
      <c r="V313" s="70"/>
      <c r="W313" s="70"/>
    </row>
    <row r="314" ht="14.25" customHeight="1">
      <c r="A314" s="70"/>
      <c r="B314" s="70"/>
      <c r="C314" s="70"/>
      <c r="D314" s="70"/>
      <c r="E314" s="5"/>
      <c r="F314" s="70"/>
      <c r="G314" s="70"/>
      <c r="H314" s="70"/>
      <c r="I314" s="70"/>
      <c r="J314" s="70"/>
      <c r="K314" s="70"/>
      <c r="L314" s="70"/>
      <c r="M314" s="70"/>
      <c r="N314" s="70"/>
      <c r="O314" s="70"/>
      <c r="P314" s="70"/>
      <c r="Q314" s="70"/>
      <c r="R314" s="70"/>
      <c r="S314" s="70"/>
      <c r="T314" s="70"/>
      <c r="U314" s="70"/>
      <c r="V314" s="70"/>
      <c r="W314" s="70"/>
    </row>
    <row r="315" ht="14.25" customHeight="1">
      <c r="A315" s="70"/>
      <c r="B315" s="70"/>
      <c r="C315" s="70"/>
      <c r="D315" s="70"/>
      <c r="E315" s="5"/>
      <c r="F315" s="70"/>
      <c r="G315" s="70"/>
      <c r="H315" s="70"/>
      <c r="I315" s="70"/>
      <c r="J315" s="70"/>
      <c r="K315" s="70"/>
      <c r="L315" s="70"/>
      <c r="M315" s="70"/>
      <c r="N315" s="70"/>
      <c r="O315" s="70"/>
      <c r="P315" s="70"/>
      <c r="Q315" s="70"/>
      <c r="R315" s="70"/>
      <c r="S315" s="70"/>
      <c r="T315" s="70"/>
      <c r="U315" s="70"/>
      <c r="V315" s="70"/>
      <c r="W315" s="70"/>
    </row>
    <row r="316" ht="14.25" customHeight="1">
      <c r="A316" s="70"/>
      <c r="B316" s="70"/>
      <c r="C316" s="70"/>
      <c r="D316" s="70"/>
      <c r="E316" s="5"/>
      <c r="F316" s="70"/>
      <c r="G316" s="70"/>
      <c r="H316" s="70"/>
      <c r="I316" s="70"/>
      <c r="J316" s="70"/>
      <c r="K316" s="70"/>
      <c r="L316" s="70"/>
      <c r="M316" s="70"/>
      <c r="N316" s="70"/>
      <c r="O316" s="70"/>
      <c r="P316" s="70"/>
      <c r="Q316" s="70"/>
      <c r="R316" s="70"/>
      <c r="S316" s="70"/>
      <c r="T316" s="70"/>
      <c r="U316" s="70"/>
      <c r="V316" s="70"/>
      <c r="W316" s="70"/>
    </row>
    <row r="317" ht="14.25" customHeight="1">
      <c r="A317" s="70"/>
      <c r="B317" s="70"/>
      <c r="C317" s="70"/>
      <c r="D317" s="70"/>
      <c r="E317" s="5"/>
      <c r="F317" s="70"/>
      <c r="G317" s="70"/>
      <c r="H317" s="70"/>
      <c r="I317" s="70"/>
      <c r="J317" s="70"/>
      <c r="K317" s="70"/>
      <c r="L317" s="70"/>
      <c r="M317" s="70"/>
      <c r="N317" s="70"/>
      <c r="O317" s="70"/>
      <c r="P317" s="70"/>
      <c r="Q317" s="70"/>
      <c r="R317" s="70"/>
      <c r="S317" s="70"/>
      <c r="T317" s="70"/>
      <c r="U317" s="70"/>
      <c r="V317" s="70"/>
      <c r="W317" s="70"/>
    </row>
    <row r="318" ht="14.25" customHeight="1">
      <c r="A318" s="70"/>
      <c r="B318" s="70"/>
      <c r="C318" s="70"/>
      <c r="D318" s="70"/>
      <c r="E318" s="5"/>
      <c r="F318" s="70"/>
      <c r="G318" s="70"/>
      <c r="H318" s="70"/>
      <c r="I318" s="70"/>
      <c r="J318" s="70"/>
      <c r="K318" s="70"/>
      <c r="L318" s="70"/>
      <c r="M318" s="70"/>
      <c r="N318" s="70"/>
      <c r="O318" s="70"/>
      <c r="P318" s="70"/>
      <c r="Q318" s="70"/>
      <c r="R318" s="70"/>
      <c r="S318" s="70"/>
      <c r="T318" s="70"/>
      <c r="U318" s="70"/>
      <c r="V318" s="70"/>
      <c r="W318" s="70"/>
    </row>
    <row r="319" ht="14.25" customHeight="1">
      <c r="A319" s="70"/>
      <c r="B319" s="70"/>
      <c r="C319" s="70"/>
      <c r="D319" s="70"/>
      <c r="E319" s="5"/>
      <c r="F319" s="70"/>
      <c r="G319" s="70"/>
      <c r="H319" s="70"/>
      <c r="I319" s="70"/>
      <c r="J319" s="70"/>
      <c r="K319" s="70"/>
      <c r="L319" s="70"/>
      <c r="M319" s="70"/>
      <c r="N319" s="70"/>
      <c r="O319" s="70"/>
      <c r="P319" s="70"/>
      <c r="Q319" s="70"/>
      <c r="R319" s="70"/>
      <c r="S319" s="70"/>
      <c r="T319" s="70"/>
      <c r="U319" s="70"/>
      <c r="V319" s="70"/>
      <c r="W319" s="70"/>
    </row>
    <row r="320" ht="14.25" customHeight="1">
      <c r="A320" s="70"/>
      <c r="B320" s="70"/>
      <c r="C320" s="70"/>
      <c r="D320" s="70"/>
      <c r="E320" s="5"/>
      <c r="F320" s="70"/>
      <c r="G320" s="70"/>
      <c r="H320" s="70"/>
      <c r="I320" s="70"/>
      <c r="J320" s="70"/>
      <c r="K320" s="70"/>
      <c r="L320" s="70"/>
      <c r="M320" s="70"/>
      <c r="N320" s="70"/>
      <c r="O320" s="70"/>
      <c r="P320" s="70"/>
      <c r="Q320" s="70"/>
      <c r="R320" s="70"/>
      <c r="S320" s="70"/>
      <c r="T320" s="70"/>
      <c r="U320" s="70"/>
      <c r="V320" s="70"/>
      <c r="W320" s="70"/>
    </row>
    <row r="321" ht="14.25" customHeight="1">
      <c r="A321" s="70"/>
      <c r="B321" s="70"/>
      <c r="C321" s="70"/>
      <c r="D321" s="70"/>
      <c r="E321" s="5"/>
      <c r="F321" s="70"/>
      <c r="G321" s="70"/>
      <c r="H321" s="70"/>
      <c r="I321" s="70"/>
      <c r="J321" s="70"/>
      <c r="K321" s="70"/>
      <c r="L321" s="70"/>
      <c r="M321" s="70"/>
      <c r="N321" s="70"/>
      <c r="O321" s="70"/>
      <c r="P321" s="70"/>
      <c r="Q321" s="70"/>
      <c r="R321" s="70"/>
      <c r="S321" s="70"/>
      <c r="T321" s="70"/>
      <c r="U321" s="70"/>
      <c r="V321" s="70"/>
      <c r="W321" s="70"/>
    </row>
    <row r="322" ht="14.25" customHeight="1">
      <c r="A322" s="70"/>
      <c r="B322" s="70"/>
      <c r="C322" s="70"/>
      <c r="D322" s="70"/>
      <c r="E322" s="5"/>
      <c r="F322" s="70"/>
      <c r="G322" s="70"/>
      <c r="H322" s="70"/>
      <c r="I322" s="70"/>
      <c r="J322" s="70"/>
      <c r="K322" s="70"/>
      <c r="L322" s="70"/>
      <c r="M322" s="70"/>
      <c r="N322" s="70"/>
      <c r="O322" s="70"/>
      <c r="P322" s="70"/>
      <c r="Q322" s="70"/>
      <c r="R322" s="70"/>
      <c r="S322" s="70"/>
      <c r="T322" s="70"/>
      <c r="U322" s="70"/>
      <c r="V322" s="70"/>
      <c r="W322" s="70"/>
    </row>
    <row r="323" ht="14.25" customHeight="1">
      <c r="A323" s="70"/>
      <c r="B323" s="70"/>
      <c r="C323" s="70"/>
      <c r="D323" s="70"/>
      <c r="E323" s="5"/>
      <c r="F323" s="70"/>
      <c r="G323" s="70"/>
      <c r="H323" s="70"/>
      <c r="I323" s="70"/>
      <c r="J323" s="70"/>
      <c r="K323" s="70"/>
      <c r="L323" s="70"/>
      <c r="M323" s="70"/>
      <c r="N323" s="70"/>
      <c r="O323" s="70"/>
      <c r="P323" s="70"/>
      <c r="Q323" s="70"/>
      <c r="R323" s="70"/>
      <c r="S323" s="70"/>
      <c r="T323" s="70"/>
      <c r="U323" s="70"/>
      <c r="V323" s="70"/>
      <c r="W323" s="70"/>
    </row>
    <row r="324" ht="14.25" customHeight="1">
      <c r="A324" s="70"/>
      <c r="B324" s="70"/>
      <c r="C324" s="70"/>
      <c r="D324" s="70"/>
      <c r="E324" s="5"/>
      <c r="F324" s="70"/>
      <c r="G324" s="70"/>
      <c r="H324" s="70"/>
      <c r="I324" s="70"/>
      <c r="J324" s="70"/>
      <c r="K324" s="70"/>
      <c r="L324" s="70"/>
      <c r="M324" s="70"/>
      <c r="N324" s="70"/>
      <c r="O324" s="70"/>
      <c r="P324" s="70"/>
      <c r="Q324" s="70"/>
      <c r="R324" s="70"/>
      <c r="S324" s="70"/>
      <c r="T324" s="70"/>
      <c r="U324" s="70"/>
      <c r="V324" s="70"/>
      <c r="W324" s="70"/>
    </row>
    <row r="325" ht="14.25" customHeight="1">
      <c r="A325" s="70"/>
      <c r="B325" s="70"/>
      <c r="C325" s="70"/>
      <c r="D325" s="70"/>
      <c r="E325" s="5"/>
      <c r="F325" s="70"/>
      <c r="G325" s="70"/>
      <c r="H325" s="70"/>
      <c r="I325" s="70"/>
      <c r="J325" s="70"/>
      <c r="K325" s="70"/>
      <c r="L325" s="70"/>
      <c r="M325" s="70"/>
      <c r="N325" s="70"/>
      <c r="O325" s="70"/>
      <c r="P325" s="70"/>
      <c r="Q325" s="70"/>
      <c r="R325" s="70"/>
      <c r="S325" s="70"/>
      <c r="T325" s="70"/>
      <c r="U325" s="70"/>
      <c r="V325" s="70"/>
      <c r="W325" s="70"/>
    </row>
    <row r="326" ht="14.25" customHeight="1">
      <c r="A326" s="70"/>
      <c r="B326" s="70"/>
      <c r="C326" s="70"/>
      <c r="D326" s="70"/>
      <c r="E326" s="5"/>
      <c r="F326" s="70"/>
      <c r="G326" s="70"/>
      <c r="H326" s="70"/>
      <c r="I326" s="70"/>
      <c r="J326" s="70"/>
      <c r="K326" s="70"/>
      <c r="L326" s="70"/>
      <c r="M326" s="70"/>
      <c r="N326" s="70"/>
      <c r="O326" s="70"/>
      <c r="P326" s="70"/>
      <c r="Q326" s="70"/>
      <c r="R326" s="70"/>
      <c r="S326" s="70"/>
      <c r="T326" s="70"/>
      <c r="U326" s="70"/>
      <c r="V326" s="70"/>
      <c r="W326" s="70"/>
    </row>
    <row r="327" ht="14.25" customHeight="1">
      <c r="A327" s="70"/>
      <c r="B327" s="70"/>
      <c r="C327" s="70"/>
      <c r="D327" s="70"/>
      <c r="E327" s="5"/>
      <c r="F327" s="70"/>
      <c r="G327" s="70"/>
      <c r="H327" s="70"/>
      <c r="I327" s="70"/>
      <c r="J327" s="70"/>
      <c r="K327" s="70"/>
      <c r="L327" s="70"/>
      <c r="M327" s="70"/>
      <c r="N327" s="70"/>
      <c r="O327" s="70"/>
      <c r="P327" s="70"/>
      <c r="Q327" s="70"/>
      <c r="R327" s="70"/>
      <c r="S327" s="70"/>
      <c r="T327" s="70"/>
      <c r="U327" s="70"/>
      <c r="V327" s="70"/>
      <c r="W327" s="70"/>
    </row>
    <row r="328" ht="14.25" customHeight="1">
      <c r="A328" s="70"/>
      <c r="B328" s="70"/>
      <c r="C328" s="70"/>
      <c r="D328" s="70"/>
      <c r="E328" s="5"/>
      <c r="F328" s="70"/>
      <c r="G328" s="70"/>
      <c r="H328" s="70"/>
      <c r="I328" s="70"/>
      <c r="J328" s="70"/>
      <c r="K328" s="70"/>
      <c r="L328" s="70"/>
      <c r="M328" s="70"/>
      <c r="N328" s="70"/>
      <c r="O328" s="70"/>
      <c r="P328" s="70"/>
      <c r="Q328" s="70"/>
      <c r="R328" s="70"/>
      <c r="S328" s="70"/>
      <c r="T328" s="70"/>
      <c r="U328" s="70"/>
      <c r="V328" s="70"/>
      <c r="W328" s="70"/>
    </row>
    <row r="329" ht="14.25" customHeight="1">
      <c r="A329" s="70"/>
      <c r="B329" s="70"/>
      <c r="C329" s="70"/>
      <c r="D329" s="70"/>
      <c r="E329" s="5"/>
      <c r="F329" s="70"/>
      <c r="G329" s="70"/>
      <c r="H329" s="70"/>
      <c r="I329" s="70"/>
      <c r="J329" s="70"/>
      <c r="K329" s="70"/>
      <c r="L329" s="70"/>
      <c r="M329" s="70"/>
      <c r="N329" s="70"/>
      <c r="O329" s="70"/>
      <c r="P329" s="70"/>
      <c r="Q329" s="70"/>
      <c r="R329" s="70"/>
      <c r="S329" s="70"/>
      <c r="T329" s="70"/>
      <c r="U329" s="70"/>
      <c r="V329" s="70"/>
      <c r="W329" s="70"/>
    </row>
    <row r="330" ht="14.25" customHeight="1">
      <c r="A330" s="70"/>
      <c r="B330" s="70"/>
      <c r="C330" s="70"/>
      <c r="D330" s="70"/>
      <c r="E330" s="5"/>
      <c r="F330" s="70"/>
      <c r="G330" s="70"/>
      <c r="H330" s="70"/>
      <c r="I330" s="70"/>
      <c r="J330" s="70"/>
      <c r="K330" s="70"/>
      <c r="L330" s="70"/>
      <c r="M330" s="70"/>
      <c r="N330" s="70"/>
      <c r="O330" s="70"/>
      <c r="P330" s="70"/>
      <c r="Q330" s="70"/>
      <c r="R330" s="70"/>
      <c r="S330" s="70"/>
      <c r="T330" s="70"/>
      <c r="U330" s="70"/>
      <c r="V330" s="70"/>
      <c r="W330" s="70"/>
    </row>
    <row r="331" ht="14.25" customHeight="1">
      <c r="A331" s="70"/>
      <c r="B331" s="70"/>
      <c r="C331" s="70"/>
      <c r="D331" s="70"/>
      <c r="E331" s="5"/>
      <c r="F331" s="70"/>
      <c r="G331" s="70"/>
      <c r="H331" s="70"/>
      <c r="I331" s="70"/>
      <c r="J331" s="70"/>
      <c r="K331" s="70"/>
      <c r="L331" s="70"/>
      <c r="M331" s="70"/>
      <c r="N331" s="70"/>
      <c r="O331" s="70"/>
      <c r="P331" s="70"/>
      <c r="Q331" s="70"/>
      <c r="R331" s="70"/>
      <c r="S331" s="70"/>
      <c r="T331" s="70"/>
      <c r="U331" s="70"/>
      <c r="V331" s="70"/>
      <c r="W331" s="70"/>
    </row>
    <row r="332" ht="14.25" customHeight="1">
      <c r="A332" s="70"/>
      <c r="B332" s="70"/>
      <c r="C332" s="70"/>
      <c r="D332" s="70"/>
      <c r="E332" s="5"/>
      <c r="F332" s="70"/>
      <c r="G332" s="70"/>
      <c r="H332" s="70"/>
      <c r="I332" s="70"/>
      <c r="J332" s="70"/>
      <c r="K332" s="70"/>
      <c r="L332" s="70"/>
      <c r="M332" s="70"/>
      <c r="N332" s="70"/>
      <c r="O332" s="70"/>
      <c r="P332" s="70"/>
      <c r="Q332" s="70"/>
      <c r="R332" s="70"/>
      <c r="S332" s="70"/>
      <c r="T332" s="70"/>
      <c r="U332" s="70"/>
      <c r="V332" s="70"/>
      <c r="W332" s="70"/>
    </row>
    <row r="333" ht="14.25" customHeight="1">
      <c r="A333" s="70"/>
      <c r="B333" s="70"/>
      <c r="C333" s="70"/>
      <c r="D333" s="70"/>
      <c r="E333" s="5"/>
      <c r="F333" s="70"/>
      <c r="G333" s="70"/>
      <c r="H333" s="70"/>
      <c r="I333" s="70"/>
      <c r="J333" s="70"/>
      <c r="K333" s="70"/>
      <c r="L333" s="70"/>
      <c r="M333" s="70"/>
      <c r="N333" s="70"/>
      <c r="O333" s="70"/>
      <c r="P333" s="70"/>
      <c r="Q333" s="70"/>
      <c r="R333" s="70"/>
      <c r="S333" s="70"/>
      <c r="T333" s="70"/>
      <c r="U333" s="70"/>
      <c r="V333" s="70"/>
      <c r="W333" s="70"/>
    </row>
    <row r="334" ht="14.25" customHeight="1">
      <c r="A334" s="70"/>
      <c r="B334" s="70"/>
      <c r="C334" s="70"/>
      <c r="D334" s="70"/>
      <c r="E334" s="5"/>
      <c r="F334" s="70"/>
      <c r="G334" s="70"/>
      <c r="H334" s="70"/>
      <c r="I334" s="70"/>
      <c r="J334" s="70"/>
      <c r="K334" s="70"/>
      <c r="L334" s="70"/>
      <c r="M334" s="70"/>
      <c r="N334" s="70"/>
      <c r="O334" s="70"/>
      <c r="P334" s="70"/>
      <c r="Q334" s="70"/>
      <c r="R334" s="70"/>
      <c r="S334" s="70"/>
      <c r="T334" s="70"/>
      <c r="U334" s="70"/>
      <c r="V334" s="70"/>
      <c r="W334" s="70"/>
    </row>
    <row r="335" ht="14.25" customHeight="1">
      <c r="A335" s="70"/>
      <c r="B335" s="70"/>
      <c r="C335" s="70"/>
      <c r="D335" s="70"/>
      <c r="E335" s="5"/>
      <c r="F335" s="70"/>
      <c r="G335" s="70"/>
      <c r="H335" s="70"/>
      <c r="I335" s="70"/>
      <c r="J335" s="70"/>
      <c r="K335" s="70"/>
      <c r="L335" s="70"/>
      <c r="M335" s="70"/>
      <c r="N335" s="70"/>
      <c r="O335" s="70"/>
      <c r="P335" s="70"/>
      <c r="Q335" s="70"/>
      <c r="R335" s="70"/>
      <c r="S335" s="70"/>
      <c r="T335" s="70"/>
      <c r="U335" s="70"/>
      <c r="V335" s="70"/>
      <c r="W335" s="70"/>
    </row>
    <row r="336" ht="14.25" customHeight="1">
      <c r="A336" s="70"/>
      <c r="B336" s="70"/>
      <c r="C336" s="70"/>
      <c r="D336" s="70"/>
      <c r="E336" s="5"/>
      <c r="F336" s="70"/>
      <c r="G336" s="70"/>
      <c r="H336" s="70"/>
      <c r="I336" s="70"/>
      <c r="J336" s="70"/>
      <c r="K336" s="70"/>
      <c r="L336" s="70"/>
      <c r="M336" s="70"/>
      <c r="N336" s="70"/>
      <c r="O336" s="70"/>
      <c r="P336" s="70"/>
      <c r="Q336" s="70"/>
      <c r="R336" s="70"/>
      <c r="S336" s="70"/>
      <c r="T336" s="70"/>
      <c r="U336" s="70"/>
      <c r="V336" s="70"/>
      <c r="W336" s="70"/>
    </row>
    <row r="337" ht="14.25" customHeight="1">
      <c r="A337" s="70"/>
      <c r="B337" s="70"/>
      <c r="C337" s="70"/>
      <c r="D337" s="70"/>
      <c r="E337" s="5"/>
      <c r="F337" s="70"/>
      <c r="G337" s="70"/>
      <c r="H337" s="70"/>
      <c r="I337" s="70"/>
      <c r="J337" s="70"/>
      <c r="K337" s="70"/>
      <c r="L337" s="70"/>
      <c r="M337" s="70"/>
      <c r="N337" s="70"/>
      <c r="O337" s="70"/>
      <c r="P337" s="70"/>
      <c r="Q337" s="70"/>
      <c r="R337" s="70"/>
      <c r="S337" s="70"/>
      <c r="T337" s="70"/>
      <c r="U337" s="70"/>
      <c r="V337" s="70"/>
      <c r="W337" s="70"/>
    </row>
    <row r="338" ht="14.25" customHeight="1">
      <c r="A338" s="70"/>
      <c r="B338" s="70"/>
      <c r="C338" s="70"/>
      <c r="D338" s="70"/>
      <c r="E338" s="5"/>
      <c r="F338" s="70"/>
      <c r="G338" s="70"/>
      <c r="H338" s="70"/>
      <c r="I338" s="70"/>
      <c r="J338" s="70"/>
      <c r="K338" s="70"/>
      <c r="L338" s="70"/>
      <c r="M338" s="70"/>
      <c r="N338" s="70"/>
      <c r="O338" s="70"/>
      <c r="P338" s="70"/>
      <c r="Q338" s="70"/>
      <c r="R338" s="70"/>
      <c r="S338" s="70"/>
      <c r="T338" s="70"/>
      <c r="U338" s="70"/>
      <c r="V338" s="70"/>
      <c r="W338" s="70"/>
    </row>
    <row r="339" ht="14.25" customHeight="1">
      <c r="A339" s="70"/>
      <c r="B339" s="70"/>
      <c r="C339" s="70"/>
      <c r="D339" s="70"/>
      <c r="E339" s="5"/>
      <c r="F339" s="70"/>
      <c r="G339" s="70"/>
      <c r="H339" s="70"/>
      <c r="I339" s="70"/>
      <c r="J339" s="70"/>
      <c r="K339" s="70"/>
      <c r="L339" s="70"/>
      <c r="M339" s="70"/>
      <c r="N339" s="70"/>
      <c r="O339" s="70"/>
      <c r="P339" s="70"/>
      <c r="Q339" s="70"/>
      <c r="R339" s="70"/>
      <c r="S339" s="70"/>
      <c r="T339" s="70"/>
      <c r="U339" s="70"/>
      <c r="V339" s="70"/>
      <c r="W339" s="70"/>
    </row>
    <row r="340" ht="14.25" customHeight="1">
      <c r="A340" s="70"/>
      <c r="B340" s="70"/>
      <c r="C340" s="70"/>
      <c r="D340" s="70"/>
      <c r="E340" s="5"/>
      <c r="F340" s="70"/>
      <c r="G340" s="70"/>
      <c r="H340" s="70"/>
      <c r="I340" s="70"/>
      <c r="J340" s="70"/>
      <c r="K340" s="70"/>
      <c r="L340" s="70"/>
      <c r="M340" s="70"/>
      <c r="N340" s="70"/>
      <c r="O340" s="70"/>
      <c r="P340" s="70"/>
      <c r="Q340" s="70"/>
      <c r="R340" s="70"/>
      <c r="S340" s="70"/>
      <c r="T340" s="70"/>
      <c r="U340" s="70"/>
      <c r="V340" s="70"/>
      <c r="W340" s="70"/>
    </row>
    <row r="341" ht="14.25" customHeight="1">
      <c r="A341" s="70"/>
      <c r="B341" s="70"/>
      <c r="C341" s="70"/>
      <c r="D341" s="70"/>
      <c r="E341" s="5"/>
      <c r="F341" s="70"/>
      <c r="G341" s="70"/>
      <c r="H341" s="70"/>
      <c r="I341" s="70"/>
      <c r="J341" s="70"/>
      <c r="K341" s="70"/>
      <c r="L341" s="70"/>
      <c r="M341" s="70"/>
      <c r="N341" s="70"/>
      <c r="O341" s="70"/>
      <c r="P341" s="70"/>
      <c r="Q341" s="70"/>
      <c r="R341" s="70"/>
      <c r="S341" s="70"/>
      <c r="T341" s="70"/>
      <c r="U341" s="70"/>
      <c r="V341" s="70"/>
      <c r="W341" s="70"/>
    </row>
    <row r="342" ht="14.25" customHeight="1">
      <c r="A342" s="70"/>
      <c r="B342" s="70"/>
      <c r="C342" s="70"/>
      <c r="D342" s="70"/>
      <c r="E342" s="5"/>
      <c r="F342" s="70"/>
      <c r="G342" s="70"/>
      <c r="H342" s="70"/>
      <c r="I342" s="70"/>
      <c r="J342" s="70"/>
      <c r="K342" s="70"/>
      <c r="L342" s="70"/>
      <c r="M342" s="70"/>
      <c r="N342" s="70"/>
      <c r="O342" s="70"/>
      <c r="P342" s="70"/>
      <c r="Q342" s="70"/>
      <c r="R342" s="70"/>
      <c r="S342" s="70"/>
      <c r="T342" s="70"/>
      <c r="U342" s="70"/>
      <c r="V342" s="70"/>
      <c r="W342" s="70"/>
    </row>
    <row r="343" ht="14.25" customHeight="1">
      <c r="A343" s="70"/>
      <c r="B343" s="70"/>
      <c r="C343" s="70"/>
      <c r="D343" s="70"/>
      <c r="E343" s="5"/>
      <c r="F343" s="70"/>
      <c r="G343" s="70"/>
      <c r="H343" s="70"/>
      <c r="I343" s="70"/>
      <c r="J343" s="70"/>
      <c r="K343" s="70"/>
      <c r="L343" s="70"/>
      <c r="M343" s="70"/>
      <c r="N343" s="70"/>
      <c r="O343" s="70"/>
      <c r="P343" s="70"/>
      <c r="Q343" s="70"/>
      <c r="R343" s="70"/>
      <c r="S343" s="70"/>
      <c r="T343" s="70"/>
      <c r="U343" s="70"/>
      <c r="V343" s="70"/>
      <c r="W343" s="70"/>
    </row>
    <row r="344" ht="14.25" customHeight="1">
      <c r="A344" s="70"/>
      <c r="B344" s="70"/>
      <c r="C344" s="70"/>
      <c r="D344" s="70"/>
      <c r="E344" s="5"/>
      <c r="F344" s="70"/>
      <c r="G344" s="70"/>
      <c r="H344" s="70"/>
      <c r="I344" s="70"/>
      <c r="J344" s="70"/>
      <c r="K344" s="70"/>
      <c r="L344" s="70"/>
      <c r="M344" s="70"/>
      <c r="N344" s="70"/>
      <c r="O344" s="70"/>
      <c r="P344" s="70"/>
      <c r="Q344" s="70"/>
      <c r="R344" s="70"/>
      <c r="S344" s="70"/>
      <c r="T344" s="70"/>
      <c r="U344" s="70"/>
      <c r="V344" s="70"/>
      <c r="W344" s="70"/>
    </row>
    <row r="345" ht="14.25" customHeight="1">
      <c r="A345" s="70"/>
      <c r="B345" s="70"/>
      <c r="C345" s="70"/>
      <c r="D345" s="70"/>
      <c r="E345" s="5"/>
      <c r="F345" s="70"/>
      <c r="G345" s="70"/>
      <c r="H345" s="70"/>
      <c r="I345" s="70"/>
      <c r="J345" s="70"/>
      <c r="K345" s="70"/>
      <c r="L345" s="70"/>
      <c r="M345" s="70"/>
      <c r="N345" s="70"/>
      <c r="O345" s="70"/>
      <c r="P345" s="70"/>
      <c r="Q345" s="70"/>
      <c r="R345" s="70"/>
      <c r="S345" s="70"/>
      <c r="T345" s="70"/>
      <c r="U345" s="70"/>
      <c r="V345" s="70"/>
      <c r="W345" s="70"/>
    </row>
    <row r="346" ht="14.25" customHeight="1">
      <c r="A346" s="70"/>
      <c r="B346" s="70"/>
      <c r="C346" s="70"/>
      <c r="D346" s="70"/>
      <c r="E346" s="5"/>
      <c r="F346" s="70"/>
      <c r="G346" s="70"/>
      <c r="H346" s="70"/>
      <c r="I346" s="70"/>
      <c r="J346" s="70"/>
      <c r="K346" s="70"/>
      <c r="L346" s="70"/>
      <c r="M346" s="70"/>
      <c r="N346" s="70"/>
      <c r="O346" s="70"/>
      <c r="P346" s="70"/>
      <c r="Q346" s="70"/>
      <c r="R346" s="70"/>
      <c r="S346" s="70"/>
      <c r="T346" s="70"/>
      <c r="U346" s="70"/>
      <c r="V346" s="70"/>
      <c r="W346" s="70"/>
    </row>
    <row r="347" ht="14.25" customHeight="1">
      <c r="A347" s="70"/>
      <c r="B347" s="70"/>
      <c r="C347" s="70"/>
      <c r="D347" s="70"/>
      <c r="E347" s="5"/>
      <c r="F347" s="70"/>
      <c r="G347" s="70"/>
      <c r="H347" s="70"/>
      <c r="I347" s="70"/>
      <c r="J347" s="70"/>
      <c r="K347" s="70"/>
      <c r="L347" s="70"/>
      <c r="M347" s="70"/>
      <c r="N347" s="70"/>
      <c r="O347" s="70"/>
      <c r="P347" s="70"/>
      <c r="Q347" s="70"/>
      <c r="R347" s="70"/>
      <c r="S347" s="70"/>
      <c r="T347" s="70"/>
      <c r="U347" s="70"/>
      <c r="V347" s="70"/>
      <c r="W347" s="70"/>
    </row>
    <row r="348" ht="14.25" customHeight="1">
      <c r="A348" s="70"/>
      <c r="B348" s="70"/>
      <c r="C348" s="70"/>
      <c r="D348" s="70"/>
      <c r="E348" s="5"/>
      <c r="F348" s="70"/>
      <c r="G348" s="70"/>
      <c r="H348" s="70"/>
      <c r="I348" s="70"/>
      <c r="J348" s="70"/>
      <c r="K348" s="70"/>
      <c r="L348" s="70"/>
      <c r="M348" s="70"/>
      <c r="N348" s="70"/>
      <c r="O348" s="70"/>
      <c r="P348" s="70"/>
      <c r="Q348" s="70"/>
      <c r="R348" s="70"/>
      <c r="S348" s="70"/>
      <c r="T348" s="70"/>
      <c r="U348" s="70"/>
      <c r="V348" s="70"/>
      <c r="W348" s="70"/>
    </row>
    <row r="349" ht="14.25" customHeight="1">
      <c r="A349" s="70"/>
      <c r="B349" s="70"/>
      <c r="C349" s="70"/>
      <c r="D349" s="70"/>
      <c r="E349" s="5"/>
      <c r="F349" s="70"/>
      <c r="G349" s="70"/>
      <c r="H349" s="70"/>
      <c r="I349" s="70"/>
      <c r="J349" s="70"/>
      <c r="K349" s="70"/>
      <c r="L349" s="70"/>
      <c r="M349" s="70"/>
      <c r="N349" s="70"/>
      <c r="O349" s="70"/>
      <c r="P349" s="70"/>
      <c r="Q349" s="70"/>
      <c r="R349" s="70"/>
      <c r="S349" s="70"/>
      <c r="T349" s="70"/>
      <c r="U349" s="70"/>
      <c r="V349" s="70"/>
      <c r="W349" s="70"/>
    </row>
    <row r="350" ht="14.25" customHeight="1">
      <c r="A350" s="70"/>
      <c r="B350" s="70"/>
      <c r="C350" s="70"/>
      <c r="D350" s="70"/>
      <c r="E350" s="5"/>
      <c r="F350" s="70"/>
      <c r="G350" s="70"/>
      <c r="H350" s="70"/>
      <c r="I350" s="70"/>
      <c r="J350" s="70"/>
      <c r="K350" s="70"/>
      <c r="L350" s="70"/>
      <c r="M350" s="70"/>
      <c r="N350" s="70"/>
      <c r="O350" s="70"/>
      <c r="P350" s="70"/>
      <c r="Q350" s="70"/>
      <c r="R350" s="70"/>
      <c r="S350" s="70"/>
      <c r="T350" s="70"/>
      <c r="U350" s="70"/>
      <c r="V350" s="70"/>
      <c r="W350" s="70"/>
    </row>
    <row r="351" ht="14.25" customHeight="1">
      <c r="A351" s="70"/>
      <c r="B351" s="70"/>
      <c r="C351" s="70"/>
      <c r="D351" s="70"/>
      <c r="E351" s="5"/>
      <c r="F351" s="70"/>
      <c r="G351" s="70"/>
      <c r="H351" s="70"/>
      <c r="I351" s="70"/>
      <c r="J351" s="70"/>
      <c r="K351" s="70"/>
      <c r="L351" s="70"/>
      <c r="M351" s="70"/>
      <c r="N351" s="70"/>
      <c r="O351" s="70"/>
      <c r="P351" s="70"/>
      <c r="Q351" s="70"/>
      <c r="R351" s="70"/>
      <c r="S351" s="70"/>
      <c r="T351" s="70"/>
      <c r="U351" s="70"/>
      <c r="V351" s="70"/>
      <c r="W351" s="70"/>
    </row>
    <row r="352" ht="14.25" customHeight="1">
      <c r="A352" s="70"/>
      <c r="B352" s="70"/>
      <c r="C352" s="70"/>
      <c r="D352" s="70"/>
      <c r="E352" s="5"/>
      <c r="F352" s="70"/>
      <c r="G352" s="70"/>
      <c r="H352" s="70"/>
      <c r="I352" s="70"/>
      <c r="J352" s="70"/>
      <c r="K352" s="70"/>
      <c r="L352" s="70"/>
      <c r="M352" s="70"/>
      <c r="N352" s="70"/>
      <c r="O352" s="70"/>
      <c r="P352" s="70"/>
      <c r="Q352" s="70"/>
      <c r="R352" s="70"/>
      <c r="S352" s="70"/>
      <c r="T352" s="70"/>
      <c r="U352" s="70"/>
      <c r="V352" s="70"/>
      <c r="W352" s="70"/>
    </row>
    <row r="353" ht="14.25" customHeight="1">
      <c r="A353" s="70"/>
      <c r="B353" s="70"/>
      <c r="C353" s="70"/>
      <c r="D353" s="70"/>
      <c r="E353" s="5"/>
      <c r="F353" s="70"/>
      <c r="G353" s="70"/>
      <c r="H353" s="70"/>
      <c r="I353" s="70"/>
      <c r="J353" s="70"/>
      <c r="K353" s="70"/>
      <c r="L353" s="70"/>
      <c r="M353" s="70"/>
      <c r="N353" s="70"/>
      <c r="O353" s="70"/>
      <c r="P353" s="70"/>
      <c r="Q353" s="70"/>
      <c r="R353" s="70"/>
      <c r="S353" s="70"/>
      <c r="T353" s="70"/>
      <c r="U353" s="70"/>
      <c r="V353" s="70"/>
      <c r="W353" s="70"/>
    </row>
    <row r="354" ht="14.25" customHeight="1">
      <c r="A354" s="70"/>
      <c r="B354" s="70"/>
      <c r="C354" s="70"/>
      <c r="D354" s="70"/>
      <c r="E354" s="5"/>
      <c r="F354" s="70"/>
      <c r="G354" s="70"/>
      <c r="H354" s="70"/>
      <c r="I354" s="70"/>
      <c r="J354" s="70"/>
      <c r="K354" s="70"/>
      <c r="L354" s="70"/>
      <c r="M354" s="70"/>
      <c r="N354" s="70"/>
      <c r="O354" s="70"/>
      <c r="P354" s="70"/>
      <c r="Q354" s="70"/>
      <c r="R354" s="70"/>
      <c r="S354" s="70"/>
      <c r="T354" s="70"/>
      <c r="U354" s="70"/>
      <c r="V354" s="70"/>
      <c r="W354" s="70"/>
    </row>
    <row r="355" ht="14.25" customHeight="1">
      <c r="A355" s="70"/>
      <c r="B355" s="70"/>
      <c r="C355" s="70"/>
      <c r="D355" s="70"/>
      <c r="E355" s="5"/>
      <c r="F355" s="70"/>
      <c r="G355" s="70"/>
      <c r="H355" s="70"/>
      <c r="I355" s="70"/>
      <c r="J355" s="70"/>
      <c r="K355" s="70"/>
      <c r="L355" s="70"/>
      <c r="M355" s="70"/>
      <c r="N355" s="70"/>
      <c r="O355" s="70"/>
      <c r="P355" s="70"/>
      <c r="Q355" s="70"/>
      <c r="R355" s="70"/>
      <c r="S355" s="70"/>
      <c r="T355" s="70"/>
      <c r="U355" s="70"/>
      <c r="V355" s="70"/>
      <c r="W355" s="70"/>
    </row>
    <row r="356" ht="14.25" customHeight="1">
      <c r="A356" s="70"/>
      <c r="B356" s="70"/>
      <c r="C356" s="70"/>
      <c r="D356" s="70"/>
      <c r="E356" s="5"/>
      <c r="F356" s="70"/>
      <c r="G356" s="70"/>
      <c r="H356" s="70"/>
      <c r="I356" s="70"/>
      <c r="J356" s="70"/>
      <c r="K356" s="70"/>
      <c r="L356" s="70"/>
      <c r="M356" s="70"/>
      <c r="N356" s="70"/>
      <c r="O356" s="70"/>
      <c r="P356" s="70"/>
      <c r="Q356" s="70"/>
      <c r="R356" s="70"/>
      <c r="S356" s="70"/>
      <c r="T356" s="70"/>
      <c r="U356" s="70"/>
      <c r="V356" s="70"/>
      <c r="W356" s="70"/>
    </row>
    <row r="357" ht="14.25" customHeight="1">
      <c r="A357" s="70"/>
      <c r="B357" s="70"/>
      <c r="C357" s="70"/>
      <c r="D357" s="70"/>
      <c r="E357" s="5"/>
      <c r="F357" s="70"/>
      <c r="G357" s="70"/>
      <c r="H357" s="70"/>
      <c r="I357" s="70"/>
      <c r="J357" s="70"/>
      <c r="K357" s="70"/>
      <c r="L357" s="70"/>
      <c r="M357" s="70"/>
      <c r="N357" s="70"/>
      <c r="O357" s="70"/>
      <c r="P357" s="70"/>
      <c r="Q357" s="70"/>
      <c r="R357" s="70"/>
      <c r="S357" s="70"/>
      <c r="T357" s="70"/>
      <c r="U357" s="70"/>
      <c r="V357" s="70"/>
      <c r="W357" s="70"/>
    </row>
    <row r="358" ht="14.25" customHeight="1">
      <c r="A358" s="70"/>
      <c r="B358" s="70"/>
      <c r="C358" s="70"/>
      <c r="D358" s="70"/>
      <c r="E358" s="5"/>
      <c r="F358" s="70"/>
      <c r="G358" s="70"/>
      <c r="H358" s="70"/>
      <c r="I358" s="70"/>
      <c r="J358" s="70"/>
      <c r="K358" s="70"/>
      <c r="L358" s="70"/>
      <c r="M358" s="70"/>
      <c r="N358" s="70"/>
      <c r="O358" s="70"/>
      <c r="P358" s="70"/>
      <c r="Q358" s="70"/>
      <c r="R358" s="70"/>
      <c r="S358" s="70"/>
      <c r="T358" s="70"/>
      <c r="U358" s="70"/>
      <c r="V358" s="70"/>
      <c r="W358" s="70"/>
    </row>
    <row r="359" ht="14.25" customHeight="1">
      <c r="A359" s="70"/>
      <c r="B359" s="70"/>
      <c r="C359" s="70"/>
      <c r="D359" s="70"/>
      <c r="E359" s="5"/>
      <c r="F359" s="70"/>
      <c r="G359" s="70"/>
      <c r="H359" s="70"/>
      <c r="I359" s="70"/>
      <c r="J359" s="70"/>
      <c r="K359" s="70"/>
      <c r="L359" s="70"/>
      <c r="M359" s="70"/>
      <c r="N359" s="70"/>
      <c r="O359" s="70"/>
      <c r="P359" s="70"/>
      <c r="Q359" s="70"/>
      <c r="R359" s="70"/>
      <c r="S359" s="70"/>
      <c r="T359" s="70"/>
      <c r="U359" s="70"/>
      <c r="V359" s="70"/>
      <c r="W359" s="70"/>
    </row>
    <row r="360" ht="14.25" customHeight="1">
      <c r="A360" s="70"/>
      <c r="B360" s="70"/>
      <c r="C360" s="70"/>
      <c r="D360" s="70"/>
      <c r="E360" s="5"/>
      <c r="F360" s="70"/>
      <c r="G360" s="70"/>
      <c r="H360" s="70"/>
      <c r="I360" s="70"/>
      <c r="J360" s="70"/>
      <c r="K360" s="70"/>
      <c r="L360" s="70"/>
      <c r="M360" s="70"/>
      <c r="N360" s="70"/>
      <c r="O360" s="70"/>
      <c r="P360" s="70"/>
      <c r="Q360" s="70"/>
      <c r="R360" s="70"/>
      <c r="S360" s="70"/>
      <c r="T360" s="70"/>
      <c r="U360" s="70"/>
      <c r="V360" s="70"/>
      <c r="W360" s="70"/>
    </row>
    <row r="361" ht="14.25" customHeight="1">
      <c r="A361" s="70"/>
      <c r="B361" s="70"/>
      <c r="C361" s="70"/>
      <c r="D361" s="70"/>
      <c r="E361" s="5"/>
      <c r="F361" s="70"/>
      <c r="G361" s="70"/>
      <c r="H361" s="70"/>
      <c r="I361" s="70"/>
      <c r="J361" s="70"/>
      <c r="K361" s="70"/>
      <c r="L361" s="70"/>
      <c r="M361" s="70"/>
      <c r="N361" s="70"/>
      <c r="O361" s="70"/>
      <c r="P361" s="70"/>
      <c r="Q361" s="70"/>
      <c r="R361" s="70"/>
      <c r="S361" s="70"/>
      <c r="T361" s="70"/>
      <c r="U361" s="70"/>
      <c r="V361" s="70"/>
      <c r="W361" s="70"/>
    </row>
    <row r="362" ht="14.25" customHeight="1">
      <c r="A362" s="70"/>
      <c r="B362" s="70"/>
      <c r="C362" s="70"/>
      <c r="D362" s="70"/>
      <c r="E362" s="5"/>
      <c r="F362" s="70"/>
      <c r="G362" s="70"/>
      <c r="H362" s="70"/>
      <c r="I362" s="70"/>
      <c r="J362" s="70"/>
      <c r="K362" s="70"/>
      <c r="L362" s="70"/>
      <c r="M362" s="70"/>
      <c r="N362" s="70"/>
      <c r="O362" s="70"/>
      <c r="P362" s="70"/>
      <c r="Q362" s="70"/>
      <c r="R362" s="70"/>
      <c r="S362" s="70"/>
      <c r="T362" s="70"/>
      <c r="U362" s="70"/>
      <c r="V362" s="70"/>
      <c r="W362" s="70"/>
    </row>
    <row r="363" ht="14.25" customHeight="1">
      <c r="A363" s="70"/>
      <c r="B363" s="70"/>
      <c r="C363" s="70"/>
      <c r="D363" s="70"/>
      <c r="E363" s="5"/>
      <c r="F363" s="70"/>
      <c r="G363" s="70"/>
      <c r="H363" s="70"/>
      <c r="I363" s="70"/>
      <c r="J363" s="70"/>
      <c r="K363" s="70"/>
      <c r="L363" s="70"/>
      <c r="M363" s="70"/>
      <c r="N363" s="70"/>
      <c r="O363" s="70"/>
      <c r="P363" s="70"/>
      <c r="Q363" s="70"/>
      <c r="R363" s="70"/>
      <c r="S363" s="70"/>
      <c r="T363" s="70"/>
      <c r="U363" s="70"/>
      <c r="V363" s="70"/>
      <c r="W363" s="70"/>
    </row>
    <row r="364" ht="14.25" customHeight="1">
      <c r="A364" s="70"/>
      <c r="B364" s="70"/>
      <c r="C364" s="70"/>
      <c r="D364" s="70"/>
      <c r="E364" s="5"/>
      <c r="F364" s="70"/>
      <c r="G364" s="70"/>
      <c r="H364" s="70"/>
      <c r="I364" s="70"/>
      <c r="J364" s="70"/>
      <c r="K364" s="70"/>
      <c r="L364" s="70"/>
      <c r="M364" s="70"/>
      <c r="N364" s="70"/>
      <c r="O364" s="70"/>
      <c r="P364" s="70"/>
      <c r="Q364" s="70"/>
      <c r="R364" s="70"/>
      <c r="S364" s="70"/>
      <c r="T364" s="70"/>
      <c r="U364" s="70"/>
      <c r="V364" s="70"/>
      <c r="W364" s="70"/>
    </row>
    <row r="365" ht="14.25" customHeight="1">
      <c r="A365" s="70"/>
      <c r="B365" s="70"/>
      <c r="C365" s="70"/>
      <c r="D365" s="70"/>
      <c r="E365" s="5"/>
      <c r="F365" s="70"/>
      <c r="G365" s="70"/>
      <c r="H365" s="70"/>
      <c r="I365" s="70"/>
      <c r="J365" s="70"/>
      <c r="K365" s="70"/>
      <c r="L365" s="70"/>
      <c r="M365" s="70"/>
      <c r="N365" s="70"/>
      <c r="O365" s="70"/>
      <c r="P365" s="70"/>
      <c r="Q365" s="70"/>
      <c r="R365" s="70"/>
      <c r="S365" s="70"/>
      <c r="T365" s="70"/>
      <c r="U365" s="70"/>
      <c r="V365" s="70"/>
      <c r="W365" s="70"/>
    </row>
    <row r="366" ht="14.25" customHeight="1">
      <c r="A366" s="70"/>
      <c r="B366" s="70"/>
      <c r="C366" s="70"/>
      <c r="D366" s="70"/>
      <c r="E366" s="5"/>
      <c r="F366" s="70"/>
      <c r="G366" s="70"/>
      <c r="H366" s="70"/>
      <c r="I366" s="70"/>
      <c r="J366" s="70"/>
      <c r="K366" s="70"/>
      <c r="L366" s="70"/>
      <c r="M366" s="70"/>
      <c r="N366" s="70"/>
      <c r="O366" s="70"/>
      <c r="P366" s="70"/>
      <c r="Q366" s="70"/>
      <c r="R366" s="70"/>
      <c r="S366" s="70"/>
      <c r="T366" s="70"/>
      <c r="U366" s="70"/>
      <c r="V366" s="70"/>
      <c r="W366" s="70"/>
    </row>
    <row r="367" ht="14.25" customHeight="1">
      <c r="A367" s="70"/>
      <c r="B367" s="70"/>
      <c r="C367" s="70"/>
      <c r="D367" s="70"/>
      <c r="E367" s="5"/>
      <c r="F367" s="70"/>
      <c r="G367" s="70"/>
      <c r="H367" s="70"/>
      <c r="I367" s="70"/>
      <c r="J367" s="70"/>
      <c r="K367" s="70"/>
      <c r="L367" s="70"/>
      <c r="M367" s="70"/>
      <c r="N367" s="70"/>
      <c r="O367" s="70"/>
      <c r="P367" s="70"/>
      <c r="Q367" s="70"/>
      <c r="R367" s="70"/>
      <c r="S367" s="70"/>
      <c r="T367" s="70"/>
      <c r="U367" s="70"/>
      <c r="V367" s="70"/>
      <c r="W367" s="70"/>
    </row>
    <row r="368" ht="14.25" customHeight="1">
      <c r="A368" s="70"/>
      <c r="B368" s="70"/>
      <c r="C368" s="70"/>
      <c r="D368" s="70"/>
      <c r="E368" s="5"/>
      <c r="F368" s="70"/>
      <c r="G368" s="70"/>
      <c r="H368" s="70"/>
      <c r="I368" s="70"/>
      <c r="J368" s="70"/>
      <c r="K368" s="70"/>
      <c r="L368" s="70"/>
      <c r="M368" s="70"/>
      <c r="N368" s="70"/>
      <c r="O368" s="70"/>
      <c r="P368" s="70"/>
      <c r="Q368" s="70"/>
      <c r="R368" s="70"/>
      <c r="S368" s="70"/>
      <c r="T368" s="70"/>
      <c r="U368" s="70"/>
      <c r="V368" s="70"/>
      <c r="W368" s="70"/>
    </row>
    <row r="369" ht="14.25" customHeight="1">
      <c r="A369" s="70"/>
      <c r="B369" s="70"/>
      <c r="C369" s="70"/>
      <c r="D369" s="70"/>
      <c r="E369" s="5"/>
      <c r="F369" s="70"/>
      <c r="G369" s="70"/>
      <c r="H369" s="70"/>
      <c r="I369" s="70"/>
      <c r="J369" s="70"/>
      <c r="K369" s="70"/>
      <c r="L369" s="70"/>
      <c r="M369" s="70"/>
      <c r="N369" s="70"/>
      <c r="O369" s="70"/>
      <c r="P369" s="70"/>
      <c r="Q369" s="70"/>
      <c r="R369" s="70"/>
      <c r="S369" s="70"/>
      <c r="T369" s="70"/>
      <c r="U369" s="70"/>
      <c r="V369" s="70"/>
      <c r="W369" s="70"/>
    </row>
    <row r="370" ht="14.25" customHeight="1">
      <c r="A370" s="70"/>
      <c r="B370" s="70"/>
      <c r="C370" s="70"/>
      <c r="D370" s="70"/>
      <c r="E370" s="5"/>
      <c r="F370" s="70"/>
      <c r="G370" s="70"/>
      <c r="H370" s="70"/>
      <c r="I370" s="70"/>
      <c r="J370" s="70"/>
      <c r="K370" s="70"/>
      <c r="L370" s="70"/>
      <c r="M370" s="70"/>
      <c r="N370" s="70"/>
      <c r="O370" s="70"/>
      <c r="P370" s="70"/>
      <c r="Q370" s="70"/>
      <c r="R370" s="70"/>
      <c r="S370" s="70"/>
      <c r="T370" s="70"/>
      <c r="U370" s="70"/>
      <c r="V370" s="70"/>
      <c r="W370" s="70"/>
    </row>
    <row r="371" ht="14.25" customHeight="1">
      <c r="A371" s="70"/>
      <c r="B371" s="70"/>
      <c r="C371" s="70"/>
      <c r="D371" s="70"/>
      <c r="E371" s="5"/>
      <c r="F371" s="70"/>
      <c r="G371" s="70"/>
      <c r="H371" s="70"/>
      <c r="I371" s="70"/>
      <c r="J371" s="70"/>
      <c r="K371" s="70"/>
      <c r="L371" s="70"/>
      <c r="M371" s="70"/>
      <c r="N371" s="70"/>
      <c r="O371" s="70"/>
      <c r="P371" s="70"/>
      <c r="Q371" s="70"/>
      <c r="R371" s="70"/>
      <c r="S371" s="70"/>
      <c r="T371" s="70"/>
      <c r="U371" s="70"/>
      <c r="V371" s="70"/>
      <c r="W371" s="70"/>
    </row>
    <row r="372" ht="14.25" customHeight="1">
      <c r="A372" s="70"/>
      <c r="B372" s="70"/>
      <c r="C372" s="70"/>
      <c r="D372" s="70"/>
      <c r="E372" s="5"/>
      <c r="F372" s="70"/>
      <c r="G372" s="70"/>
      <c r="H372" s="70"/>
      <c r="I372" s="70"/>
      <c r="J372" s="70"/>
      <c r="K372" s="70"/>
      <c r="L372" s="70"/>
      <c r="M372" s="70"/>
      <c r="N372" s="70"/>
      <c r="O372" s="70"/>
      <c r="P372" s="70"/>
      <c r="Q372" s="70"/>
      <c r="R372" s="70"/>
      <c r="S372" s="70"/>
      <c r="T372" s="70"/>
      <c r="U372" s="70"/>
      <c r="V372" s="70"/>
      <c r="W372" s="70"/>
    </row>
    <row r="373" ht="14.25" customHeight="1">
      <c r="A373" s="70"/>
      <c r="B373" s="70"/>
      <c r="C373" s="70"/>
      <c r="D373" s="70"/>
      <c r="E373" s="5"/>
      <c r="F373" s="70"/>
      <c r="G373" s="70"/>
      <c r="H373" s="70"/>
      <c r="I373" s="70"/>
      <c r="J373" s="70"/>
      <c r="K373" s="70"/>
      <c r="L373" s="70"/>
      <c r="M373" s="70"/>
      <c r="N373" s="70"/>
      <c r="O373" s="70"/>
      <c r="P373" s="70"/>
      <c r="Q373" s="70"/>
      <c r="R373" s="70"/>
      <c r="S373" s="70"/>
      <c r="T373" s="70"/>
      <c r="U373" s="70"/>
      <c r="V373" s="70"/>
      <c r="W373" s="70"/>
    </row>
    <row r="374" ht="14.25" customHeight="1">
      <c r="A374" s="70"/>
      <c r="B374" s="70"/>
      <c r="C374" s="70"/>
      <c r="D374" s="70"/>
      <c r="E374" s="5"/>
      <c r="F374" s="70"/>
      <c r="G374" s="70"/>
      <c r="H374" s="70"/>
      <c r="I374" s="70"/>
      <c r="J374" s="70"/>
      <c r="K374" s="70"/>
      <c r="L374" s="70"/>
      <c r="M374" s="70"/>
      <c r="N374" s="70"/>
      <c r="O374" s="70"/>
      <c r="P374" s="70"/>
      <c r="Q374" s="70"/>
      <c r="R374" s="70"/>
      <c r="S374" s="70"/>
      <c r="T374" s="70"/>
      <c r="U374" s="70"/>
      <c r="V374" s="70"/>
      <c r="W374" s="70"/>
    </row>
    <row r="375" ht="14.25" customHeight="1">
      <c r="A375" s="70"/>
      <c r="B375" s="70"/>
      <c r="C375" s="70"/>
      <c r="D375" s="70"/>
      <c r="E375" s="5"/>
      <c r="F375" s="70"/>
      <c r="G375" s="70"/>
      <c r="H375" s="70"/>
      <c r="I375" s="70"/>
      <c r="J375" s="70"/>
      <c r="K375" s="70"/>
      <c r="L375" s="70"/>
      <c r="M375" s="70"/>
      <c r="N375" s="70"/>
      <c r="O375" s="70"/>
      <c r="P375" s="70"/>
      <c r="Q375" s="70"/>
      <c r="R375" s="70"/>
      <c r="S375" s="70"/>
      <c r="T375" s="70"/>
      <c r="U375" s="70"/>
      <c r="V375" s="70"/>
      <c r="W375" s="70"/>
    </row>
    <row r="376" ht="14.25" customHeight="1">
      <c r="A376" s="70"/>
      <c r="B376" s="70"/>
      <c r="C376" s="70"/>
      <c r="D376" s="70"/>
      <c r="E376" s="5"/>
      <c r="F376" s="70"/>
      <c r="G376" s="70"/>
      <c r="H376" s="70"/>
      <c r="I376" s="70"/>
      <c r="J376" s="70"/>
      <c r="K376" s="70"/>
      <c r="L376" s="70"/>
      <c r="M376" s="70"/>
      <c r="N376" s="70"/>
      <c r="O376" s="70"/>
      <c r="P376" s="70"/>
      <c r="Q376" s="70"/>
      <c r="R376" s="70"/>
      <c r="S376" s="70"/>
      <c r="T376" s="70"/>
      <c r="U376" s="70"/>
      <c r="V376" s="70"/>
      <c r="W376" s="70"/>
    </row>
    <row r="377" ht="14.25" customHeight="1">
      <c r="A377" s="70"/>
      <c r="B377" s="70"/>
      <c r="C377" s="70"/>
      <c r="D377" s="70"/>
      <c r="E377" s="5"/>
      <c r="F377" s="70"/>
      <c r="G377" s="70"/>
      <c r="H377" s="70"/>
      <c r="I377" s="70"/>
      <c r="J377" s="70"/>
      <c r="K377" s="70"/>
      <c r="L377" s="70"/>
      <c r="M377" s="70"/>
      <c r="N377" s="70"/>
      <c r="O377" s="70"/>
      <c r="P377" s="70"/>
      <c r="Q377" s="70"/>
      <c r="R377" s="70"/>
      <c r="S377" s="70"/>
      <c r="T377" s="70"/>
      <c r="U377" s="70"/>
      <c r="V377" s="70"/>
      <c r="W377" s="70"/>
    </row>
    <row r="378" ht="14.25" customHeight="1">
      <c r="A378" s="70"/>
      <c r="B378" s="70"/>
      <c r="C378" s="70"/>
      <c r="D378" s="70"/>
      <c r="E378" s="5"/>
      <c r="F378" s="70"/>
      <c r="G378" s="70"/>
      <c r="H378" s="70"/>
      <c r="I378" s="70"/>
      <c r="J378" s="70"/>
      <c r="K378" s="70"/>
      <c r="L378" s="70"/>
      <c r="M378" s="70"/>
      <c r="N378" s="70"/>
      <c r="O378" s="70"/>
      <c r="P378" s="70"/>
      <c r="Q378" s="70"/>
      <c r="R378" s="70"/>
      <c r="S378" s="70"/>
      <c r="T378" s="70"/>
      <c r="U378" s="70"/>
      <c r="V378" s="70"/>
      <c r="W378" s="70"/>
    </row>
    <row r="379" ht="14.25" customHeight="1">
      <c r="A379" s="70"/>
      <c r="B379" s="70"/>
      <c r="C379" s="70"/>
      <c r="D379" s="70"/>
      <c r="E379" s="5"/>
      <c r="F379" s="70"/>
      <c r="G379" s="70"/>
      <c r="H379" s="70"/>
      <c r="I379" s="70"/>
      <c r="J379" s="70"/>
      <c r="K379" s="70"/>
      <c r="L379" s="70"/>
      <c r="M379" s="70"/>
      <c r="N379" s="70"/>
      <c r="O379" s="70"/>
      <c r="P379" s="70"/>
      <c r="Q379" s="70"/>
      <c r="R379" s="70"/>
      <c r="S379" s="70"/>
      <c r="T379" s="70"/>
      <c r="U379" s="70"/>
      <c r="V379" s="70"/>
      <c r="W379" s="70"/>
    </row>
    <row r="380" ht="14.25" customHeight="1">
      <c r="A380" s="70"/>
      <c r="B380" s="70"/>
      <c r="C380" s="70"/>
      <c r="D380" s="70"/>
      <c r="E380" s="5"/>
      <c r="F380" s="70"/>
      <c r="G380" s="70"/>
      <c r="H380" s="70"/>
      <c r="I380" s="70"/>
      <c r="J380" s="70"/>
      <c r="K380" s="70"/>
      <c r="L380" s="70"/>
      <c r="M380" s="70"/>
      <c r="N380" s="70"/>
      <c r="O380" s="70"/>
      <c r="P380" s="70"/>
      <c r="Q380" s="70"/>
      <c r="R380" s="70"/>
      <c r="S380" s="70"/>
      <c r="T380" s="70"/>
      <c r="U380" s="70"/>
      <c r="V380" s="70"/>
      <c r="W380" s="70"/>
    </row>
    <row r="381" ht="14.25" customHeight="1">
      <c r="A381" s="70"/>
      <c r="B381" s="70"/>
      <c r="C381" s="70"/>
      <c r="D381" s="70"/>
      <c r="E381" s="5"/>
      <c r="F381" s="70"/>
      <c r="G381" s="70"/>
      <c r="H381" s="70"/>
      <c r="I381" s="70"/>
      <c r="J381" s="70"/>
      <c r="K381" s="70"/>
      <c r="L381" s="70"/>
      <c r="M381" s="70"/>
      <c r="N381" s="70"/>
      <c r="O381" s="70"/>
      <c r="P381" s="70"/>
      <c r="Q381" s="70"/>
      <c r="R381" s="70"/>
      <c r="S381" s="70"/>
      <c r="T381" s="70"/>
      <c r="U381" s="70"/>
      <c r="V381" s="70"/>
      <c r="W381" s="70"/>
    </row>
    <row r="382" ht="14.25" customHeight="1">
      <c r="A382" s="70"/>
      <c r="B382" s="70"/>
      <c r="C382" s="70"/>
      <c r="D382" s="70"/>
      <c r="E382" s="5"/>
      <c r="F382" s="70"/>
      <c r="G382" s="70"/>
      <c r="H382" s="70"/>
      <c r="I382" s="70"/>
      <c r="J382" s="70"/>
      <c r="K382" s="70"/>
      <c r="L382" s="70"/>
      <c r="M382" s="70"/>
      <c r="N382" s="70"/>
      <c r="O382" s="70"/>
      <c r="P382" s="70"/>
      <c r="Q382" s="70"/>
      <c r="R382" s="70"/>
      <c r="S382" s="70"/>
      <c r="T382" s="70"/>
      <c r="U382" s="70"/>
      <c r="V382" s="70"/>
      <c r="W382" s="70"/>
    </row>
    <row r="383" ht="14.25" customHeight="1">
      <c r="A383" s="70"/>
      <c r="B383" s="70"/>
      <c r="C383" s="70"/>
      <c r="D383" s="70"/>
      <c r="E383" s="5"/>
      <c r="F383" s="70"/>
      <c r="G383" s="70"/>
      <c r="H383" s="70"/>
      <c r="I383" s="70"/>
      <c r="J383" s="70"/>
      <c r="K383" s="70"/>
      <c r="L383" s="70"/>
      <c r="M383" s="70"/>
      <c r="N383" s="70"/>
      <c r="O383" s="70"/>
      <c r="P383" s="70"/>
      <c r="Q383" s="70"/>
      <c r="R383" s="70"/>
      <c r="S383" s="70"/>
      <c r="T383" s="70"/>
      <c r="U383" s="70"/>
      <c r="V383" s="70"/>
      <c r="W383" s="70"/>
    </row>
    <row r="384" ht="14.25" customHeight="1">
      <c r="A384" s="70"/>
      <c r="B384" s="70"/>
      <c r="C384" s="70"/>
      <c r="D384" s="70"/>
      <c r="E384" s="5"/>
      <c r="F384" s="70"/>
      <c r="G384" s="70"/>
      <c r="H384" s="70"/>
      <c r="I384" s="70"/>
      <c r="J384" s="70"/>
      <c r="K384" s="70"/>
      <c r="L384" s="70"/>
      <c r="M384" s="70"/>
      <c r="N384" s="70"/>
      <c r="O384" s="70"/>
      <c r="P384" s="70"/>
      <c r="Q384" s="70"/>
      <c r="R384" s="70"/>
      <c r="S384" s="70"/>
      <c r="T384" s="70"/>
      <c r="U384" s="70"/>
      <c r="V384" s="70"/>
      <c r="W384" s="70"/>
    </row>
    <row r="385" ht="14.25" customHeight="1">
      <c r="A385" s="70"/>
      <c r="B385" s="70"/>
      <c r="C385" s="70"/>
      <c r="D385" s="70"/>
      <c r="E385" s="5"/>
      <c r="F385" s="70"/>
      <c r="G385" s="70"/>
      <c r="H385" s="70"/>
      <c r="I385" s="70"/>
      <c r="J385" s="70"/>
      <c r="K385" s="70"/>
      <c r="L385" s="70"/>
      <c r="M385" s="70"/>
      <c r="N385" s="70"/>
      <c r="O385" s="70"/>
      <c r="P385" s="70"/>
      <c r="Q385" s="70"/>
      <c r="R385" s="70"/>
      <c r="S385" s="70"/>
      <c r="T385" s="70"/>
      <c r="U385" s="70"/>
      <c r="V385" s="70"/>
      <c r="W385" s="70"/>
    </row>
    <row r="386" ht="14.25" customHeight="1">
      <c r="A386" s="70"/>
      <c r="B386" s="70"/>
      <c r="C386" s="70"/>
      <c r="D386" s="70"/>
      <c r="E386" s="5"/>
      <c r="F386" s="70"/>
      <c r="G386" s="70"/>
      <c r="H386" s="70"/>
      <c r="I386" s="70"/>
      <c r="J386" s="70"/>
      <c r="K386" s="70"/>
      <c r="L386" s="70"/>
      <c r="M386" s="70"/>
      <c r="N386" s="70"/>
      <c r="O386" s="70"/>
      <c r="P386" s="70"/>
      <c r="Q386" s="70"/>
      <c r="R386" s="70"/>
      <c r="S386" s="70"/>
      <c r="T386" s="70"/>
      <c r="U386" s="70"/>
      <c r="V386" s="70"/>
      <c r="W386" s="70"/>
    </row>
    <row r="387" ht="14.25" customHeight="1">
      <c r="A387" s="70"/>
      <c r="B387" s="70"/>
      <c r="C387" s="70"/>
      <c r="D387" s="70"/>
      <c r="E387" s="5"/>
      <c r="F387" s="70"/>
      <c r="G387" s="70"/>
      <c r="H387" s="70"/>
      <c r="I387" s="70"/>
      <c r="J387" s="70"/>
      <c r="K387" s="70"/>
      <c r="L387" s="70"/>
      <c r="M387" s="70"/>
      <c r="N387" s="70"/>
      <c r="O387" s="70"/>
      <c r="P387" s="70"/>
      <c r="Q387" s="70"/>
      <c r="R387" s="70"/>
      <c r="S387" s="70"/>
      <c r="T387" s="70"/>
      <c r="U387" s="70"/>
      <c r="V387" s="70"/>
      <c r="W387" s="70"/>
    </row>
    <row r="388" ht="14.25" customHeight="1">
      <c r="A388" s="70"/>
      <c r="B388" s="70"/>
      <c r="C388" s="70"/>
      <c r="D388" s="70"/>
      <c r="E388" s="5"/>
      <c r="F388" s="70"/>
      <c r="G388" s="70"/>
      <c r="H388" s="70"/>
      <c r="I388" s="70"/>
      <c r="J388" s="70"/>
      <c r="K388" s="70"/>
      <c r="L388" s="70"/>
      <c r="M388" s="70"/>
      <c r="N388" s="70"/>
      <c r="O388" s="70"/>
      <c r="P388" s="70"/>
      <c r="Q388" s="70"/>
      <c r="R388" s="70"/>
      <c r="S388" s="70"/>
      <c r="T388" s="70"/>
      <c r="U388" s="70"/>
      <c r="V388" s="70"/>
      <c r="W388" s="70"/>
    </row>
    <row r="389" ht="14.25" customHeight="1">
      <c r="A389" s="70"/>
      <c r="B389" s="70"/>
      <c r="C389" s="70"/>
      <c r="D389" s="70"/>
      <c r="E389" s="5"/>
      <c r="F389" s="70"/>
      <c r="G389" s="70"/>
      <c r="H389" s="70"/>
      <c r="I389" s="70"/>
      <c r="J389" s="70"/>
      <c r="K389" s="70"/>
      <c r="L389" s="70"/>
      <c r="M389" s="70"/>
      <c r="N389" s="70"/>
      <c r="O389" s="70"/>
      <c r="P389" s="70"/>
      <c r="Q389" s="70"/>
      <c r="R389" s="70"/>
      <c r="S389" s="70"/>
      <c r="T389" s="70"/>
      <c r="U389" s="70"/>
      <c r="V389" s="70"/>
      <c r="W389" s="70"/>
    </row>
    <row r="390" ht="14.25" customHeight="1">
      <c r="A390" s="70"/>
      <c r="B390" s="70"/>
      <c r="C390" s="70"/>
      <c r="D390" s="70"/>
      <c r="E390" s="5"/>
      <c r="F390" s="70"/>
      <c r="G390" s="70"/>
      <c r="H390" s="70"/>
      <c r="I390" s="70"/>
      <c r="J390" s="70"/>
      <c r="K390" s="70"/>
      <c r="L390" s="70"/>
      <c r="M390" s="70"/>
      <c r="N390" s="70"/>
      <c r="O390" s="70"/>
      <c r="P390" s="70"/>
      <c r="Q390" s="70"/>
      <c r="R390" s="70"/>
      <c r="S390" s="70"/>
      <c r="T390" s="70"/>
      <c r="U390" s="70"/>
      <c r="V390" s="70"/>
      <c r="W390" s="70"/>
    </row>
    <row r="391" ht="14.25" customHeight="1">
      <c r="A391" s="70"/>
      <c r="B391" s="70"/>
      <c r="C391" s="70"/>
      <c r="D391" s="70"/>
      <c r="E391" s="5"/>
      <c r="F391" s="70"/>
      <c r="G391" s="70"/>
      <c r="H391" s="70"/>
      <c r="I391" s="70"/>
      <c r="J391" s="70"/>
      <c r="K391" s="70"/>
      <c r="L391" s="70"/>
      <c r="M391" s="70"/>
      <c r="N391" s="70"/>
      <c r="O391" s="70"/>
      <c r="P391" s="70"/>
      <c r="Q391" s="70"/>
      <c r="R391" s="70"/>
      <c r="S391" s="70"/>
      <c r="T391" s="70"/>
      <c r="U391" s="70"/>
      <c r="V391" s="70"/>
      <c r="W391" s="70"/>
    </row>
    <row r="392" ht="14.25" customHeight="1">
      <c r="A392" s="70"/>
      <c r="B392" s="70"/>
      <c r="C392" s="70"/>
      <c r="D392" s="70"/>
      <c r="E392" s="5"/>
      <c r="F392" s="70"/>
      <c r="G392" s="70"/>
      <c r="H392" s="70"/>
      <c r="I392" s="70"/>
      <c r="J392" s="70"/>
      <c r="K392" s="70"/>
      <c r="L392" s="70"/>
      <c r="M392" s="70"/>
      <c r="N392" s="70"/>
      <c r="O392" s="70"/>
      <c r="P392" s="70"/>
      <c r="Q392" s="70"/>
      <c r="R392" s="70"/>
      <c r="S392" s="70"/>
      <c r="T392" s="70"/>
      <c r="U392" s="70"/>
      <c r="V392" s="70"/>
      <c r="W392" s="70"/>
    </row>
    <row r="393" ht="14.25" customHeight="1">
      <c r="A393" s="70"/>
      <c r="B393" s="70"/>
      <c r="C393" s="70"/>
      <c r="D393" s="70"/>
      <c r="E393" s="5"/>
      <c r="F393" s="70"/>
      <c r="G393" s="70"/>
      <c r="H393" s="70"/>
      <c r="I393" s="70"/>
      <c r="J393" s="70"/>
      <c r="K393" s="70"/>
      <c r="L393" s="70"/>
      <c r="M393" s="70"/>
      <c r="N393" s="70"/>
      <c r="O393" s="70"/>
      <c r="P393" s="70"/>
      <c r="Q393" s="70"/>
      <c r="R393" s="70"/>
      <c r="S393" s="70"/>
      <c r="T393" s="70"/>
      <c r="U393" s="70"/>
      <c r="V393" s="70"/>
      <c r="W393" s="70"/>
    </row>
    <row r="394" ht="14.25" customHeight="1">
      <c r="A394" s="70"/>
      <c r="B394" s="70"/>
      <c r="C394" s="70"/>
      <c r="D394" s="70"/>
      <c r="E394" s="5"/>
      <c r="F394" s="70"/>
      <c r="G394" s="70"/>
      <c r="H394" s="70"/>
      <c r="I394" s="70"/>
      <c r="J394" s="70"/>
      <c r="K394" s="70"/>
      <c r="L394" s="70"/>
      <c r="M394" s="70"/>
      <c r="N394" s="70"/>
      <c r="O394" s="70"/>
      <c r="P394" s="70"/>
      <c r="Q394" s="70"/>
      <c r="R394" s="70"/>
      <c r="S394" s="70"/>
      <c r="T394" s="70"/>
      <c r="U394" s="70"/>
      <c r="V394" s="70"/>
      <c r="W394" s="70"/>
    </row>
    <row r="395" ht="14.25" customHeight="1">
      <c r="A395" s="70"/>
      <c r="B395" s="70"/>
      <c r="C395" s="70"/>
      <c r="D395" s="70"/>
      <c r="E395" s="5"/>
      <c r="F395" s="70"/>
      <c r="G395" s="70"/>
      <c r="H395" s="70"/>
      <c r="I395" s="70"/>
      <c r="J395" s="70"/>
      <c r="K395" s="70"/>
      <c r="L395" s="70"/>
      <c r="M395" s="70"/>
      <c r="N395" s="70"/>
      <c r="O395" s="70"/>
      <c r="P395" s="70"/>
      <c r="Q395" s="70"/>
      <c r="R395" s="70"/>
      <c r="S395" s="70"/>
      <c r="T395" s="70"/>
      <c r="U395" s="70"/>
      <c r="V395" s="70"/>
      <c r="W395" s="70"/>
    </row>
    <row r="396" ht="14.25" customHeight="1">
      <c r="A396" s="70"/>
      <c r="B396" s="70"/>
      <c r="C396" s="70"/>
      <c r="D396" s="70"/>
      <c r="E396" s="5"/>
      <c r="F396" s="70"/>
      <c r="G396" s="70"/>
      <c r="H396" s="70"/>
      <c r="I396" s="70"/>
      <c r="J396" s="70"/>
      <c r="K396" s="70"/>
      <c r="L396" s="70"/>
      <c r="M396" s="70"/>
      <c r="N396" s="70"/>
      <c r="O396" s="70"/>
      <c r="P396" s="70"/>
      <c r="Q396" s="70"/>
      <c r="R396" s="70"/>
      <c r="S396" s="70"/>
      <c r="T396" s="70"/>
      <c r="U396" s="70"/>
      <c r="V396" s="70"/>
      <c r="W396" s="70"/>
    </row>
    <row r="397" ht="14.25" customHeight="1">
      <c r="A397" s="70"/>
      <c r="B397" s="70"/>
      <c r="C397" s="70"/>
      <c r="D397" s="70"/>
      <c r="E397" s="5"/>
      <c r="F397" s="70"/>
      <c r="G397" s="70"/>
      <c r="H397" s="70"/>
      <c r="I397" s="70"/>
      <c r="J397" s="70"/>
      <c r="K397" s="70"/>
      <c r="L397" s="70"/>
      <c r="M397" s="70"/>
      <c r="N397" s="70"/>
      <c r="O397" s="70"/>
      <c r="P397" s="70"/>
      <c r="Q397" s="70"/>
      <c r="R397" s="70"/>
      <c r="S397" s="70"/>
      <c r="T397" s="70"/>
      <c r="U397" s="70"/>
      <c r="V397" s="70"/>
      <c r="W397" s="70"/>
    </row>
    <row r="398" ht="14.25" customHeight="1">
      <c r="A398" s="70"/>
      <c r="B398" s="70"/>
      <c r="C398" s="70"/>
      <c r="D398" s="70"/>
      <c r="E398" s="5"/>
      <c r="F398" s="70"/>
      <c r="G398" s="70"/>
      <c r="H398" s="70"/>
      <c r="I398" s="70"/>
      <c r="J398" s="70"/>
      <c r="K398" s="70"/>
      <c r="L398" s="70"/>
      <c r="M398" s="70"/>
      <c r="N398" s="70"/>
      <c r="O398" s="70"/>
      <c r="P398" s="70"/>
      <c r="Q398" s="70"/>
      <c r="R398" s="70"/>
      <c r="S398" s="70"/>
      <c r="T398" s="70"/>
      <c r="U398" s="70"/>
      <c r="V398" s="70"/>
      <c r="W398" s="70"/>
    </row>
    <row r="399" ht="14.25" customHeight="1">
      <c r="A399" s="70"/>
      <c r="B399" s="70"/>
      <c r="C399" s="70"/>
      <c r="D399" s="70"/>
      <c r="E399" s="5"/>
      <c r="F399" s="70"/>
      <c r="G399" s="70"/>
      <c r="H399" s="70"/>
      <c r="I399" s="70"/>
      <c r="J399" s="70"/>
      <c r="K399" s="70"/>
      <c r="L399" s="70"/>
      <c r="M399" s="70"/>
      <c r="N399" s="70"/>
      <c r="O399" s="70"/>
      <c r="P399" s="70"/>
      <c r="Q399" s="70"/>
      <c r="R399" s="70"/>
      <c r="S399" s="70"/>
      <c r="T399" s="70"/>
      <c r="U399" s="70"/>
      <c r="V399" s="70"/>
      <c r="W399" s="70"/>
    </row>
    <row r="400" ht="14.25" customHeight="1">
      <c r="A400" s="70"/>
      <c r="B400" s="70"/>
      <c r="C400" s="70"/>
      <c r="D400" s="70"/>
      <c r="E400" s="5"/>
      <c r="F400" s="70"/>
      <c r="G400" s="70"/>
      <c r="H400" s="70"/>
      <c r="I400" s="70"/>
      <c r="J400" s="70"/>
      <c r="K400" s="70"/>
      <c r="L400" s="70"/>
      <c r="M400" s="70"/>
      <c r="N400" s="70"/>
      <c r="O400" s="70"/>
      <c r="P400" s="70"/>
      <c r="Q400" s="70"/>
      <c r="R400" s="70"/>
      <c r="S400" s="70"/>
      <c r="T400" s="70"/>
      <c r="U400" s="70"/>
      <c r="V400" s="70"/>
      <c r="W400" s="70"/>
    </row>
    <row r="401" ht="14.25" customHeight="1">
      <c r="A401" s="70"/>
      <c r="B401" s="70"/>
      <c r="C401" s="70"/>
      <c r="D401" s="70"/>
      <c r="E401" s="5"/>
      <c r="F401" s="70"/>
      <c r="G401" s="70"/>
      <c r="H401" s="70"/>
      <c r="I401" s="70"/>
      <c r="J401" s="70"/>
      <c r="K401" s="70"/>
      <c r="L401" s="70"/>
      <c r="M401" s="70"/>
      <c r="N401" s="70"/>
      <c r="O401" s="70"/>
      <c r="P401" s="70"/>
      <c r="Q401" s="70"/>
      <c r="R401" s="70"/>
      <c r="S401" s="70"/>
      <c r="T401" s="70"/>
      <c r="U401" s="70"/>
      <c r="V401" s="70"/>
      <c r="W401" s="70"/>
    </row>
    <row r="402" ht="14.25" customHeight="1">
      <c r="A402" s="70"/>
      <c r="B402" s="70"/>
      <c r="C402" s="70"/>
      <c r="D402" s="70"/>
      <c r="E402" s="5"/>
      <c r="F402" s="70"/>
      <c r="G402" s="70"/>
      <c r="H402" s="70"/>
      <c r="I402" s="70"/>
      <c r="J402" s="70"/>
      <c r="K402" s="70"/>
      <c r="L402" s="70"/>
      <c r="M402" s="70"/>
      <c r="N402" s="70"/>
      <c r="O402" s="70"/>
      <c r="P402" s="70"/>
      <c r="Q402" s="70"/>
      <c r="R402" s="70"/>
      <c r="S402" s="70"/>
      <c r="T402" s="70"/>
      <c r="U402" s="70"/>
      <c r="V402" s="70"/>
      <c r="W402" s="70"/>
    </row>
    <row r="403" ht="14.25" customHeight="1">
      <c r="A403" s="70"/>
      <c r="B403" s="70"/>
      <c r="C403" s="70"/>
      <c r="D403" s="70"/>
      <c r="E403" s="5"/>
      <c r="F403" s="70"/>
      <c r="G403" s="70"/>
      <c r="H403" s="70"/>
      <c r="I403" s="70"/>
      <c r="J403" s="70"/>
      <c r="K403" s="70"/>
      <c r="L403" s="70"/>
      <c r="M403" s="70"/>
      <c r="N403" s="70"/>
      <c r="O403" s="70"/>
      <c r="P403" s="70"/>
      <c r="Q403" s="70"/>
      <c r="R403" s="70"/>
      <c r="S403" s="70"/>
      <c r="T403" s="70"/>
      <c r="U403" s="70"/>
      <c r="V403" s="70"/>
      <c r="W403" s="70"/>
    </row>
    <row r="404" ht="14.25" customHeight="1">
      <c r="A404" s="70"/>
      <c r="B404" s="70"/>
      <c r="C404" s="70"/>
      <c r="D404" s="70"/>
      <c r="E404" s="5"/>
      <c r="F404" s="70"/>
      <c r="G404" s="70"/>
      <c r="H404" s="70"/>
      <c r="I404" s="70"/>
      <c r="J404" s="70"/>
      <c r="K404" s="70"/>
      <c r="L404" s="70"/>
      <c r="M404" s="70"/>
      <c r="N404" s="70"/>
      <c r="O404" s="70"/>
      <c r="P404" s="70"/>
      <c r="Q404" s="70"/>
      <c r="R404" s="70"/>
      <c r="S404" s="70"/>
      <c r="T404" s="70"/>
      <c r="U404" s="70"/>
      <c r="V404" s="70"/>
      <c r="W404" s="70"/>
    </row>
    <row r="405" ht="14.25" customHeight="1">
      <c r="A405" s="70"/>
      <c r="B405" s="70"/>
      <c r="C405" s="70"/>
      <c r="D405" s="70"/>
      <c r="E405" s="5"/>
      <c r="F405" s="70"/>
      <c r="G405" s="70"/>
      <c r="H405" s="70"/>
      <c r="I405" s="70"/>
      <c r="J405" s="70"/>
      <c r="K405" s="70"/>
      <c r="L405" s="70"/>
      <c r="M405" s="70"/>
      <c r="N405" s="70"/>
      <c r="O405" s="70"/>
      <c r="P405" s="70"/>
      <c r="Q405" s="70"/>
      <c r="R405" s="70"/>
      <c r="S405" s="70"/>
      <c r="T405" s="70"/>
      <c r="U405" s="70"/>
      <c r="V405" s="70"/>
      <c r="W405" s="70"/>
    </row>
    <row r="406" ht="14.25" customHeight="1">
      <c r="A406" s="70"/>
      <c r="B406" s="70"/>
      <c r="C406" s="70"/>
      <c r="D406" s="70"/>
      <c r="E406" s="5"/>
      <c r="F406" s="70"/>
      <c r="G406" s="70"/>
      <c r="H406" s="70"/>
      <c r="I406" s="70"/>
      <c r="J406" s="70"/>
      <c r="K406" s="70"/>
      <c r="L406" s="70"/>
      <c r="M406" s="70"/>
      <c r="N406" s="70"/>
      <c r="O406" s="70"/>
      <c r="P406" s="70"/>
      <c r="Q406" s="70"/>
      <c r="R406" s="70"/>
      <c r="S406" s="70"/>
      <c r="T406" s="70"/>
      <c r="U406" s="70"/>
      <c r="V406" s="70"/>
      <c r="W406" s="70"/>
    </row>
    <row r="407" ht="14.25" customHeight="1">
      <c r="A407" s="70"/>
      <c r="B407" s="70"/>
      <c r="C407" s="70"/>
      <c r="D407" s="70"/>
      <c r="E407" s="5"/>
      <c r="F407" s="70"/>
      <c r="G407" s="70"/>
      <c r="H407" s="70"/>
      <c r="I407" s="70"/>
      <c r="J407" s="70"/>
      <c r="K407" s="70"/>
      <c r="L407" s="70"/>
      <c r="M407" s="70"/>
      <c r="N407" s="70"/>
      <c r="O407" s="70"/>
      <c r="P407" s="70"/>
      <c r="Q407" s="70"/>
      <c r="R407" s="70"/>
      <c r="S407" s="70"/>
      <c r="T407" s="70"/>
      <c r="U407" s="70"/>
      <c r="V407" s="70"/>
      <c r="W407" s="70"/>
    </row>
    <row r="408" ht="14.25" customHeight="1">
      <c r="A408" s="70"/>
      <c r="B408" s="70"/>
      <c r="C408" s="70"/>
      <c r="D408" s="70"/>
      <c r="E408" s="5"/>
      <c r="F408" s="70"/>
      <c r="G408" s="70"/>
      <c r="H408" s="70"/>
      <c r="I408" s="70"/>
      <c r="J408" s="70"/>
      <c r="K408" s="70"/>
      <c r="L408" s="70"/>
      <c r="M408" s="70"/>
      <c r="N408" s="70"/>
      <c r="O408" s="70"/>
      <c r="P408" s="70"/>
      <c r="Q408" s="70"/>
      <c r="R408" s="70"/>
      <c r="S408" s="70"/>
      <c r="T408" s="70"/>
      <c r="U408" s="70"/>
      <c r="V408" s="70"/>
      <c r="W408" s="70"/>
    </row>
    <row r="409" ht="14.25" customHeight="1">
      <c r="A409" s="70"/>
      <c r="B409" s="70"/>
      <c r="C409" s="70"/>
      <c r="D409" s="70"/>
      <c r="E409" s="5"/>
      <c r="F409" s="70"/>
      <c r="G409" s="70"/>
      <c r="H409" s="70"/>
      <c r="I409" s="70"/>
      <c r="J409" s="70"/>
      <c r="K409" s="70"/>
      <c r="L409" s="70"/>
      <c r="M409" s="70"/>
      <c r="N409" s="70"/>
      <c r="O409" s="70"/>
      <c r="P409" s="70"/>
      <c r="Q409" s="70"/>
      <c r="R409" s="70"/>
      <c r="S409" s="70"/>
      <c r="T409" s="70"/>
      <c r="U409" s="70"/>
      <c r="V409" s="70"/>
      <c r="W409" s="70"/>
    </row>
    <row r="410" ht="14.25" customHeight="1">
      <c r="A410" s="70"/>
      <c r="B410" s="70"/>
      <c r="C410" s="70"/>
      <c r="D410" s="70"/>
      <c r="E410" s="5"/>
      <c r="F410" s="70"/>
      <c r="G410" s="70"/>
      <c r="H410" s="70"/>
      <c r="I410" s="70"/>
      <c r="J410" s="70"/>
      <c r="K410" s="70"/>
      <c r="L410" s="70"/>
      <c r="M410" s="70"/>
      <c r="N410" s="70"/>
      <c r="O410" s="70"/>
      <c r="P410" s="70"/>
      <c r="Q410" s="70"/>
      <c r="R410" s="70"/>
      <c r="S410" s="70"/>
      <c r="T410" s="70"/>
      <c r="U410" s="70"/>
      <c r="V410" s="70"/>
      <c r="W410" s="70"/>
    </row>
    <row r="411" ht="14.25" customHeight="1">
      <c r="A411" s="70"/>
      <c r="B411" s="70"/>
      <c r="C411" s="70"/>
      <c r="D411" s="70"/>
      <c r="E411" s="5"/>
      <c r="F411" s="70"/>
      <c r="G411" s="70"/>
      <c r="H411" s="70"/>
      <c r="I411" s="70"/>
      <c r="J411" s="70"/>
      <c r="K411" s="70"/>
      <c r="L411" s="70"/>
      <c r="M411" s="70"/>
      <c r="N411" s="70"/>
      <c r="O411" s="70"/>
      <c r="P411" s="70"/>
      <c r="Q411" s="70"/>
      <c r="R411" s="70"/>
      <c r="S411" s="70"/>
      <c r="T411" s="70"/>
      <c r="U411" s="70"/>
      <c r="V411" s="70"/>
      <c r="W411" s="70"/>
    </row>
    <row r="412" ht="14.25" customHeight="1">
      <c r="A412" s="70"/>
      <c r="B412" s="70"/>
      <c r="C412" s="70"/>
      <c r="D412" s="70"/>
      <c r="E412" s="5"/>
      <c r="F412" s="70"/>
      <c r="G412" s="70"/>
      <c r="H412" s="70"/>
      <c r="I412" s="70"/>
      <c r="J412" s="70"/>
      <c r="K412" s="70"/>
      <c r="L412" s="70"/>
      <c r="M412" s="70"/>
      <c r="N412" s="70"/>
      <c r="O412" s="70"/>
      <c r="P412" s="70"/>
      <c r="Q412" s="70"/>
      <c r="R412" s="70"/>
      <c r="S412" s="70"/>
      <c r="T412" s="70"/>
      <c r="U412" s="70"/>
      <c r="V412" s="70"/>
      <c r="W412" s="70"/>
    </row>
    <row r="413" ht="14.25" customHeight="1">
      <c r="A413" s="70"/>
      <c r="B413" s="70"/>
      <c r="C413" s="70"/>
      <c r="D413" s="70"/>
      <c r="E413" s="5"/>
      <c r="F413" s="70"/>
      <c r="G413" s="70"/>
      <c r="H413" s="70"/>
      <c r="I413" s="70"/>
      <c r="J413" s="70"/>
      <c r="K413" s="70"/>
      <c r="L413" s="70"/>
      <c r="M413" s="70"/>
      <c r="N413" s="70"/>
      <c r="O413" s="70"/>
      <c r="P413" s="70"/>
      <c r="Q413" s="70"/>
      <c r="R413" s="70"/>
      <c r="S413" s="70"/>
      <c r="T413" s="70"/>
      <c r="U413" s="70"/>
      <c r="V413" s="70"/>
      <c r="W413" s="70"/>
    </row>
    <row r="414" ht="14.25" customHeight="1">
      <c r="A414" s="70"/>
      <c r="B414" s="70"/>
      <c r="C414" s="70"/>
      <c r="D414" s="70"/>
      <c r="E414" s="5"/>
      <c r="F414" s="70"/>
      <c r="G414" s="70"/>
      <c r="H414" s="70"/>
      <c r="I414" s="70"/>
      <c r="J414" s="70"/>
      <c r="K414" s="70"/>
      <c r="L414" s="70"/>
      <c r="M414" s="70"/>
      <c r="N414" s="70"/>
      <c r="O414" s="70"/>
      <c r="P414" s="70"/>
      <c r="Q414" s="70"/>
      <c r="R414" s="70"/>
      <c r="S414" s="70"/>
      <c r="T414" s="70"/>
      <c r="U414" s="70"/>
      <c r="V414" s="70"/>
      <c r="W414" s="70"/>
    </row>
    <row r="415" ht="14.25" customHeight="1">
      <c r="A415" s="70"/>
      <c r="B415" s="70"/>
      <c r="C415" s="70"/>
      <c r="D415" s="70"/>
      <c r="E415" s="5"/>
      <c r="F415" s="70"/>
      <c r="G415" s="70"/>
      <c r="H415" s="70"/>
      <c r="I415" s="70"/>
      <c r="J415" s="70"/>
      <c r="K415" s="70"/>
      <c r="L415" s="70"/>
      <c r="M415" s="70"/>
      <c r="N415" s="70"/>
      <c r="O415" s="70"/>
      <c r="P415" s="70"/>
      <c r="Q415" s="70"/>
      <c r="R415" s="70"/>
      <c r="S415" s="70"/>
      <c r="T415" s="70"/>
      <c r="U415" s="70"/>
      <c r="V415" s="70"/>
      <c r="W415" s="70"/>
    </row>
    <row r="416" ht="14.25" customHeight="1">
      <c r="A416" s="70"/>
      <c r="B416" s="70"/>
      <c r="C416" s="70"/>
      <c r="D416" s="70"/>
      <c r="E416" s="5"/>
      <c r="F416" s="70"/>
      <c r="G416" s="70"/>
      <c r="H416" s="70"/>
      <c r="I416" s="70"/>
      <c r="J416" s="70"/>
      <c r="K416" s="70"/>
      <c r="L416" s="70"/>
      <c r="M416" s="70"/>
      <c r="N416" s="70"/>
      <c r="O416" s="70"/>
      <c r="P416" s="70"/>
      <c r="Q416" s="70"/>
      <c r="R416" s="70"/>
      <c r="S416" s="70"/>
      <c r="T416" s="70"/>
      <c r="U416" s="70"/>
      <c r="V416" s="70"/>
      <c r="W416" s="70"/>
    </row>
    <row r="417" ht="14.25" customHeight="1">
      <c r="A417" s="70"/>
      <c r="B417" s="70"/>
      <c r="C417" s="70"/>
      <c r="D417" s="70"/>
      <c r="E417" s="5"/>
      <c r="F417" s="70"/>
      <c r="G417" s="70"/>
      <c r="H417" s="70"/>
      <c r="I417" s="70"/>
      <c r="J417" s="70"/>
      <c r="K417" s="70"/>
      <c r="L417" s="70"/>
      <c r="M417" s="70"/>
      <c r="N417" s="70"/>
      <c r="O417" s="70"/>
      <c r="P417" s="70"/>
      <c r="Q417" s="70"/>
      <c r="R417" s="70"/>
      <c r="S417" s="70"/>
      <c r="T417" s="70"/>
      <c r="U417" s="70"/>
      <c r="V417" s="70"/>
      <c r="W417" s="70"/>
    </row>
    <row r="418" ht="14.25" customHeight="1">
      <c r="A418" s="70"/>
      <c r="B418" s="70"/>
      <c r="C418" s="70"/>
      <c r="D418" s="70"/>
      <c r="E418" s="5"/>
      <c r="F418" s="70"/>
      <c r="G418" s="70"/>
      <c r="H418" s="70"/>
      <c r="I418" s="70"/>
      <c r="J418" s="70"/>
      <c r="K418" s="70"/>
      <c r="L418" s="70"/>
      <c r="M418" s="70"/>
      <c r="N418" s="70"/>
      <c r="O418" s="70"/>
      <c r="P418" s="70"/>
      <c r="Q418" s="70"/>
      <c r="R418" s="70"/>
      <c r="S418" s="70"/>
      <c r="T418" s="70"/>
      <c r="U418" s="70"/>
      <c r="V418" s="70"/>
      <c r="W418" s="70"/>
    </row>
    <row r="419" ht="14.25" customHeight="1">
      <c r="A419" s="70"/>
      <c r="B419" s="70"/>
      <c r="C419" s="70"/>
      <c r="D419" s="70"/>
      <c r="E419" s="5"/>
      <c r="F419" s="70"/>
      <c r="G419" s="70"/>
      <c r="H419" s="70"/>
      <c r="I419" s="70"/>
      <c r="J419" s="70"/>
      <c r="K419" s="70"/>
      <c r="L419" s="70"/>
      <c r="M419" s="70"/>
      <c r="N419" s="70"/>
      <c r="O419" s="70"/>
      <c r="P419" s="70"/>
      <c r="Q419" s="70"/>
      <c r="R419" s="70"/>
      <c r="S419" s="70"/>
      <c r="T419" s="70"/>
      <c r="U419" s="70"/>
      <c r="V419" s="70"/>
      <c r="W419" s="70"/>
    </row>
    <row r="420" ht="14.25" customHeight="1">
      <c r="A420" s="70"/>
      <c r="B420" s="70"/>
      <c r="C420" s="70"/>
      <c r="D420" s="70"/>
      <c r="E420" s="5"/>
      <c r="F420" s="70"/>
      <c r="G420" s="70"/>
      <c r="H420" s="70"/>
      <c r="I420" s="70"/>
      <c r="J420" s="70"/>
      <c r="K420" s="70"/>
      <c r="L420" s="70"/>
      <c r="M420" s="70"/>
      <c r="N420" s="70"/>
      <c r="O420" s="70"/>
      <c r="P420" s="70"/>
      <c r="Q420" s="70"/>
      <c r="R420" s="70"/>
      <c r="S420" s="70"/>
      <c r="T420" s="70"/>
      <c r="U420" s="70"/>
      <c r="V420" s="70"/>
      <c r="W420" s="70"/>
    </row>
    <row r="421" ht="14.25" customHeight="1">
      <c r="A421" s="70"/>
      <c r="B421" s="70"/>
      <c r="C421" s="70"/>
      <c r="D421" s="70"/>
      <c r="E421" s="5"/>
      <c r="F421" s="70"/>
      <c r="G421" s="70"/>
      <c r="H421" s="70"/>
      <c r="I421" s="70"/>
      <c r="J421" s="70"/>
      <c r="K421" s="70"/>
      <c r="L421" s="70"/>
      <c r="M421" s="70"/>
      <c r="N421" s="70"/>
      <c r="O421" s="70"/>
      <c r="P421" s="70"/>
      <c r="Q421" s="70"/>
      <c r="R421" s="70"/>
      <c r="S421" s="70"/>
      <c r="T421" s="70"/>
      <c r="U421" s="70"/>
      <c r="V421" s="70"/>
      <c r="W421" s="70"/>
    </row>
    <row r="422" ht="14.25" customHeight="1">
      <c r="A422" s="70"/>
      <c r="B422" s="70"/>
      <c r="C422" s="70"/>
      <c r="D422" s="70"/>
      <c r="E422" s="5"/>
      <c r="F422" s="70"/>
      <c r="G422" s="70"/>
      <c r="H422" s="70"/>
      <c r="I422" s="70"/>
      <c r="J422" s="70"/>
      <c r="K422" s="70"/>
      <c r="L422" s="70"/>
      <c r="M422" s="70"/>
      <c r="N422" s="70"/>
      <c r="O422" s="70"/>
      <c r="P422" s="70"/>
      <c r="Q422" s="70"/>
      <c r="R422" s="70"/>
      <c r="S422" s="70"/>
      <c r="T422" s="70"/>
      <c r="U422" s="70"/>
      <c r="V422" s="70"/>
      <c r="W422" s="70"/>
    </row>
    <row r="423" ht="14.25" customHeight="1">
      <c r="A423" s="70"/>
      <c r="B423" s="70"/>
      <c r="C423" s="70"/>
      <c r="D423" s="70"/>
      <c r="E423" s="5"/>
      <c r="F423" s="70"/>
      <c r="G423" s="70"/>
      <c r="H423" s="70"/>
      <c r="I423" s="70"/>
      <c r="J423" s="70"/>
      <c r="K423" s="70"/>
      <c r="L423" s="70"/>
      <c r="M423" s="70"/>
      <c r="N423" s="70"/>
      <c r="O423" s="70"/>
      <c r="P423" s="70"/>
      <c r="Q423" s="70"/>
      <c r="R423" s="70"/>
      <c r="S423" s="70"/>
      <c r="T423" s="70"/>
      <c r="U423" s="70"/>
      <c r="V423" s="70"/>
      <c r="W423" s="70"/>
    </row>
    <row r="424" ht="14.25" customHeight="1">
      <c r="A424" s="70"/>
      <c r="B424" s="70"/>
      <c r="C424" s="70"/>
      <c r="D424" s="70"/>
      <c r="E424" s="5"/>
      <c r="F424" s="70"/>
      <c r="G424" s="70"/>
      <c r="H424" s="70"/>
      <c r="I424" s="70"/>
      <c r="J424" s="70"/>
      <c r="K424" s="70"/>
      <c r="L424" s="70"/>
      <c r="M424" s="70"/>
      <c r="N424" s="70"/>
      <c r="O424" s="70"/>
      <c r="P424" s="70"/>
      <c r="Q424" s="70"/>
      <c r="R424" s="70"/>
      <c r="S424" s="70"/>
      <c r="T424" s="70"/>
      <c r="U424" s="70"/>
      <c r="V424" s="70"/>
      <c r="W424" s="70"/>
    </row>
    <row r="425" ht="14.25" customHeight="1">
      <c r="A425" s="70"/>
      <c r="B425" s="70"/>
      <c r="C425" s="70"/>
      <c r="D425" s="70"/>
      <c r="E425" s="5"/>
      <c r="F425" s="70"/>
      <c r="G425" s="70"/>
      <c r="H425" s="70"/>
      <c r="I425" s="70"/>
      <c r="J425" s="70"/>
      <c r="K425" s="70"/>
      <c r="L425" s="70"/>
      <c r="M425" s="70"/>
      <c r="N425" s="70"/>
      <c r="O425" s="70"/>
      <c r="P425" s="70"/>
      <c r="Q425" s="70"/>
      <c r="R425" s="70"/>
      <c r="S425" s="70"/>
      <c r="T425" s="70"/>
      <c r="U425" s="70"/>
      <c r="V425" s="70"/>
      <c r="W425" s="70"/>
    </row>
    <row r="426" ht="14.25" customHeight="1">
      <c r="A426" s="70"/>
      <c r="B426" s="70"/>
      <c r="C426" s="70"/>
      <c r="D426" s="70"/>
      <c r="E426" s="5"/>
      <c r="F426" s="70"/>
      <c r="G426" s="70"/>
      <c r="H426" s="70"/>
      <c r="I426" s="70"/>
      <c r="J426" s="70"/>
      <c r="K426" s="70"/>
      <c r="L426" s="70"/>
      <c r="M426" s="70"/>
      <c r="N426" s="70"/>
      <c r="O426" s="70"/>
      <c r="P426" s="70"/>
      <c r="Q426" s="70"/>
      <c r="R426" s="70"/>
      <c r="S426" s="70"/>
      <c r="T426" s="70"/>
      <c r="U426" s="70"/>
      <c r="V426" s="70"/>
      <c r="W426" s="70"/>
    </row>
    <row r="427" ht="14.25" customHeight="1">
      <c r="A427" s="70"/>
      <c r="B427" s="70"/>
      <c r="C427" s="70"/>
      <c r="D427" s="70"/>
      <c r="E427" s="5"/>
      <c r="F427" s="70"/>
      <c r="G427" s="70"/>
      <c r="H427" s="70"/>
      <c r="I427" s="70"/>
      <c r="J427" s="70"/>
      <c r="K427" s="70"/>
      <c r="L427" s="70"/>
      <c r="M427" s="70"/>
      <c r="N427" s="70"/>
      <c r="O427" s="70"/>
      <c r="P427" s="70"/>
      <c r="Q427" s="70"/>
      <c r="R427" s="70"/>
      <c r="S427" s="70"/>
      <c r="T427" s="70"/>
      <c r="U427" s="70"/>
      <c r="V427" s="70"/>
      <c r="W427" s="70"/>
    </row>
    <row r="428" ht="14.25" customHeight="1">
      <c r="A428" s="70"/>
      <c r="B428" s="70"/>
      <c r="C428" s="70"/>
      <c r="D428" s="70"/>
      <c r="E428" s="5"/>
      <c r="F428" s="70"/>
      <c r="G428" s="70"/>
      <c r="H428" s="70"/>
      <c r="I428" s="70"/>
      <c r="J428" s="70"/>
      <c r="K428" s="70"/>
      <c r="L428" s="70"/>
      <c r="M428" s="70"/>
      <c r="N428" s="70"/>
      <c r="O428" s="70"/>
      <c r="P428" s="70"/>
      <c r="Q428" s="70"/>
      <c r="R428" s="70"/>
      <c r="S428" s="70"/>
      <c r="T428" s="70"/>
      <c r="U428" s="70"/>
      <c r="V428" s="70"/>
      <c r="W428" s="70"/>
    </row>
    <row r="429" ht="14.25" customHeight="1">
      <c r="A429" s="70"/>
      <c r="B429" s="70"/>
      <c r="C429" s="70"/>
      <c r="D429" s="70"/>
      <c r="E429" s="5"/>
      <c r="F429" s="70"/>
      <c r="G429" s="70"/>
      <c r="H429" s="70"/>
      <c r="I429" s="70"/>
      <c r="J429" s="70"/>
      <c r="K429" s="70"/>
      <c r="L429" s="70"/>
      <c r="M429" s="70"/>
      <c r="N429" s="70"/>
      <c r="O429" s="70"/>
      <c r="P429" s="70"/>
      <c r="Q429" s="70"/>
      <c r="R429" s="70"/>
      <c r="S429" s="70"/>
      <c r="T429" s="70"/>
      <c r="U429" s="70"/>
      <c r="V429" s="70"/>
      <c r="W429" s="70"/>
    </row>
    <row r="430" ht="14.25" customHeight="1">
      <c r="A430" s="70"/>
      <c r="B430" s="70"/>
      <c r="C430" s="70"/>
      <c r="D430" s="70"/>
      <c r="E430" s="5"/>
      <c r="F430" s="70"/>
      <c r="G430" s="70"/>
      <c r="H430" s="70"/>
      <c r="I430" s="70"/>
      <c r="J430" s="70"/>
      <c r="K430" s="70"/>
      <c r="L430" s="70"/>
      <c r="M430" s="70"/>
      <c r="N430" s="70"/>
      <c r="O430" s="70"/>
      <c r="P430" s="70"/>
      <c r="Q430" s="70"/>
      <c r="R430" s="70"/>
      <c r="S430" s="70"/>
      <c r="T430" s="70"/>
      <c r="U430" s="70"/>
      <c r="V430" s="70"/>
      <c r="W430" s="70"/>
    </row>
    <row r="431" ht="14.25" customHeight="1">
      <c r="A431" s="70"/>
      <c r="B431" s="70"/>
      <c r="C431" s="70"/>
      <c r="D431" s="70"/>
      <c r="E431" s="5"/>
      <c r="F431" s="70"/>
      <c r="G431" s="70"/>
      <c r="H431" s="70"/>
      <c r="I431" s="70"/>
      <c r="J431" s="70"/>
      <c r="K431" s="70"/>
      <c r="L431" s="70"/>
      <c r="M431" s="70"/>
      <c r="N431" s="70"/>
      <c r="O431" s="70"/>
      <c r="P431" s="70"/>
      <c r="Q431" s="70"/>
      <c r="R431" s="70"/>
      <c r="S431" s="70"/>
      <c r="T431" s="70"/>
      <c r="U431" s="70"/>
      <c r="V431" s="70"/>
      <c r="W431" s="70"/>
    </row>
    <row r="432" ht="14.25" customHeight="1">
      <c r="A432" s="70"/>
      <c r="B432" s="70"/>
      <c r="C432" s="70"/>
      <c r="D432" s="70"/>
      <c r="E432" s="5"/>
      <c r="F432" s="70"/>
      <c r="G432" s="70"/>
      <c r="H432" s="70"/>
      <c r="I432" s="70"/>
      <c r="J432" s="70"/>
      <c r="K432" s="70"/>
      <c r="L432" s="70"/>
      <c r="M432" s="70"/>
      <c r="N432" s="70"/>
      <c r="O432" s="70"/>
      <c r="P432" s="70"/>
      <c r="Q432" s="70"/>
      <c r="R432" s="70"/>
      <c r="S432" s="70"/>
      <c r="T432" s="70"/>
      <c r="U432" s="70"/>
      <c r="V432" s="70"/>
      <c r="W432" s="70"/>
    </row>
    <row r="433" ht="14.25" customHeight="1">
      <c r="A433" s="70"/>
      <c r="B433" s="70"/>
      <c r="C433" s="70"/>
      <c r="D433" s="70"/>
      <c r="E433" s="5"/>
      <c r="F433" s="70"/>
      <c r="G433" s="70"/>
      <c r="H433" s="70"/>
      <c r="I433" s="70"/>
      <c r="J433" s="70"/>
      <c r="K433" s="70"/>
      <c r="L433" s="70"/>
      <c r="M433" s="70"/>
      <c r="N433" s="70"/>
      <c r="O433" s="70"/>
      <c r="P433" s="70"/>
      <c r="Q433" s="70"/>
      <c r="R433" s="70"/>
      <c r="S433" s="70"/>
      <c r="T433" s="70"/>
      <c r="U433" s="70"/>
      <c r="V433" s="70"/>
      <c r="W433" s="70"/>
    </row>
    <row r="434" ht="14.25" customHeight="1">
      <c r="A434" s="70"/>
      <c r="B434" s="70"/>
      <c r="C434" s="70"/>
      <c r="D434" s="70"/>
      <c r="E434" s="5"/>
      <c r="F434" s="70"/>
      <c r="G434" s="70"/>
      <c r="H434" s="70"/>
      <c r="I434" s="70"/>
      <c r="J434" s="70"/>
      <c r="K434" s="70"/>
      <c r="L434" s="70"/>
      <c r="M434" s="70"/>
      <c r="N434" s="70"/>
      <c r="O434" s="70"/>
      <c r="P434" s="70"/>
      <c r="Q434" s="70"/>
      <c r="R434" s="70"/>
      <c r="S434" s="70"/>
      <c r="T434" s="70"/>
      <c r="U434" s="70"/>
      <c r="V434" s="70"/>
      <c r="W434" s="70"/>
    </row>
    <row r="435" ht="14.25" customHeight="1">
      <c r="A435" s="70"/>
      <c r="B435" s="70"/>
      <c r="C435" s="70"/>
      <c r="D435" s="70"/>
      <c r="E435" s="5"/>
      <c r="F435" s="70"/>
      <c r="G435" s="70"/>
      <c r="H435" s="70"/>
      <c r="I435" s="70"/>
      <c r="J435" s="70"/>
      <c r="K435" s="70"/>
      <c r="L435" s="70"/>
      <c r="M435" s="70"/>
      <c r="N435" s="70"/>
      <c r="O435" s="70"/>
      <c r="P435" s="70"/>
      <c r="Q435" s="70"/>
      <c r="R435" s="70"/>
      <c r="S435" s="70"/>
      <c r="T435" s="70"/>
      <c r="U435" s="70"/>
      <c r="V435" s="70"/>
      <c r="W435" s="70"/>
    </row>
    <row r="436" ht="14.25" customHeight="1">
      <c r="A436" s="70"/>
      <c r="B436" s="70"/>
      <c r="C436" s="70"/>
      <c r="D436" s="70"/>
      <c r="E436" s="5"/>
      <c r="F436" s="70"/>
      <c r="G436" s="70"/>
      <c r="H436" s="70"/>
      <c r="I436" s="70"/>
      <c r="J436" s="70"/>
      <c r="K436" s="70"/>
      <c r="L436" s="70"/>
      <c r="M436" s="70"/>
      <c r="N436" s="70"/>
      <c r="O436" s="70"/>
      <c r="P436" s="70"/>
      <c r="Q436" s="70"/>
      <c r="R436" s="70"/>
      <c r="S436" s="70"/>
      <c r="T436" s="70"/>
      <c r="U436" s="70"/>
      <c r="V436" s="70"/>
      <c r="W436" s="70"/>
    </row>
    <row r="437" ht="14.25" customHeight="1">
      <c r="A437" s="70"/>
      <c r="B437" s="70"/>
      <c r="C437" s="70"/>
      <c r="D437" s="70"/>
      <c r="E437" s="5"/>
      <c r="F437" s="70"/>
      <c r="G437" s="70"/>
      <c r="H437" s="70"/>
      <c r="I437" s="70"/>
      <c r="J437" s="70"/>
      <c r="K437" s="70"/>
      <c r="L437" s="70"/>
      <c r="M437" s="70"/>
      <c r="N437" s="70"/>
      <c r="O437" s="70"/>
      <c r="P437" s="70"/>
      <c r="Q437" s="70"/>
      <c r="R437" s="70"/>
      <c r="S437" s="70"/>
      <c r="T437" s="70"/>
      <c r="U437" s="70"/>
      <c r="V437" s="70"/>
      <c r="W437" s="70"/>
    </row>
    <row r="438" ht="14.25" customHeight="1">
      <c r="A438" s="70"/>
      <c r="B438" s="70"/>
      <c r="C438" s="70"/>
      <c r="D438" s="70"/>
      <c r="E438" s="5"/>
      <c r="F438" s="70"/>
      <c r="G438" s="70"/>
      <c r="H438" s="70"/>
      <c r="I438" s="70"/>
      <c r="J438" s="70"/>
      <c r="K438" s="70"/>
      <c r="L438" s="70"/>
      <c r="M438" s="70"/>
      <c r="N438" s="70"/>
      <c r="O438" s="70"/>
      <c r="P438" s="70"/>
      <c r="Q438" s="70"/>
      <c r="R438" s="70"/>
      <c r="S438" s="70"/>
      <c r="T438" s="70"/>
      <c r="U438" s="70"/>
      <c r="V438" s="70"/>
      <c r="W438" s="70"/>
    </row>
    <row r="439" ht="14.25" customHeight="1">
      <c r="A439" s="70"/>
      <c r="B439" s="70"/>
      <c r="C439" s="70"/>
      <c r="D439" s="70"/>
      <c r="E439" s="5"/>
      <c r="F439" s="70"/>
      <c r="G439" s="70"/>
      <c r="H439" s="70"/>
      <c r="I439" s="70"/>
      <c r="J439" s="70"/>
      <c r="K439" s="70"/>
      <c r="L439" s="70"/>
      <c r="M439" s="70"/>
      <c r="N439" s="70"/>
      <c r="O439" s="70"/>
      <c r="P439" s="70"/>
      <c r="Q439" s="70"/>
      <c r="R439" s="70"/>
      <c r="S439" s="70"/>
      <c r="T439" s="70"/>
      <c r="U439" s="70"/>
      <c r="V439" s="70"/>
      <c r="W439" s="70"/>
    </row>
    <row r="440" ht="14.25" customHeight="1">
      <c r="A440" s="70"/>
      <c r="B440" s="70"/>
      <c r="C440" s="70"/>
      <c r="D440" s="70"/>
      <c r="E440" s="5"/>
      <c r="F440" s="70"/>
      <c r="G440" s="70"/>
      <c r="H440" s="70"/>
      <c r="I440" s="70"/>
      <c r="J440" s="70"/>
      <c r="K440" s="70"/>
      <c r="L440" s="70"/>
      <c r="M440" s="70"/>
      <c r="N440" s="70"/>
      <c r="O440" s="70"/>
      <c r="P440" s="70"/>
      <c r="Q440" s="70"/>
      <c r="R440" s="70"/>
      <c r="S440" s="70"/>
      <c r="T440" s="70"/>
      <c r="U440" s="70"/>
      <c r="V440" s="70"/>
      <c r="W440" s="70"/>
    </row>
    <row r="441" ht="14.25" customHeight="1">
      <c r="A441" s="70"/>
      <c r="B441" s="70"/>
      <c r="C441" s="70"/>
      <c r="D441" s="70"/>
      <c r="E441" s="5"/>
      <c r="F441" s="70"/>
      <c r="G441" s="70"/>
      <c r="H441" s="70"/>
      <c r="I441" s="70"/>
      <c r="J441" s="70"/>
      <c r="K441" s="70"/>
      <c r="L441" s="70"/>
      <c r="M441" s="70"/>
      <c r="N441" s="70"/>
      <c r="O441" s="70"/>
      <c r="P441" s="70"/>
      <c r="Q441" s="70"/>
      <c r="R441" s="70"/>
      <c r="S441" s="70"/>
      <c r="T441" s="70"/>
      <c r="U441" s="70"/>
      <c r="V441" s="70"/>
      <c r="W441" s="70"/>
    </row>
    <row r="442" ht="14.25" customHeight="1">
      <c r="A442" s="70"/>
      <c r="B442" s="70"/>
      <c r="C442" s="70"/>
      <c r="D442" s="70"/>
      <c r="E442" s="5"/>
      <c r="F442" s="70"/>
      <c r="G442" s="70"/>
      <c r="H442" s="70"/>
      <c r="I442" s="70"/>
      <c r="J442" s="70"/>
      <c r="K442" s="70"/>
      <c r="L442" s="70"/>
      <c r="M442" s="70"/>
      <c r="N442" s="70"/>
      <c r="O442" s="70"/>
      <c r="P442" s="70"/>
      <c r="Q442" s="70"/>
      <c r="R442" s="70"/>
      <c r="S442" s="70"/>
      <c r="T442" s="70"/>
      <c r="U442" s="70"/>
      <c r="V442" s="70"/>
      <c r="W442" s="70"/>
    </row>
    <row r="443" ht="14.25" customHeight="1">
      <c r="A443" s="70"/>
      <c r="B443" s="70"/>
      <c r="C443" s="70"/>
      <c r="D443" s="70"/>
      <c r="E443" s="5"/>
      <c r="F443" s="70"/>
      <c r="G443" s="70"/>
      <c r="H443" s="70"/>
      <c r="I443" s="70"/>
      <c r="J443" s="70"/>
      <c r="K443" s="70"/>
      <c r="L443" s="70"/>
      <c r="M443" s="70"/>
      <c r="N443" s="70"/>
      <c r="O443" s="70"/>
      <c r="P443" s="70"/>
      <c r="Q443" s="70"/>
      <c r="R443" s="70"/>
      <c r="S443" s="70"/>
      <c r="T443" s="70"/>
      <c r="U443" s="70"/>
      <c r="V443" s="70"/>
      <c r="W443" s="70"/>
    </row>
    <row r="444" ht="14.25" customHeight="1">
      <c r="A444" s="70"/>
      <c r="B444" s="70"/>
      <c r="C444" s="70"/>
      <c r="D444" s="70"/>
      <c r="E444" s="5"/>
      <c r="F444" s="70"/>
      <c r="G444" s="70"/>
      <c r="H444" s="70"/>
      <c r="I444" s="70"/>
      <c r="J444" s="70"/>
      <c r="K444" s="70"/>
      <c r="L444" s="70"/>
      <c r="M444" s="70"/>
      <c r="N444" s="70"/>
      <c r="O444" s="70"/>
      <c r="P444" s="70"/>
      <c r="Q444" s="70"/>
      <c r="R444" s="70"/>
      <c r="S444" s="70"/>
      <c r="T444" s="70"/>
      <c r="U444" s="70"/>
      <c r="V444" s="70"/>
      <c r="W444" s="70"/>
    </row>
    <row r="445" ht="14.25" customHeight="1">
      <c r="A445" s="70"/>
      <c r="B445" s="70"/>
      <c r="C445" s="70"/>
      <c r="D445" s="70"/>
      <c r="E445" s="5"/>
      <c r="F445" s="70"/>
      <c r="G445" s="70"/>
      <c r="H445" s="70"/>
      <c r="I445" s="70"/>
      <c r="J445" s="70"/>
      <c r="K445" s="70"/>
      <c r="L445" s="70"/>
      <c r="M445" s="70"/>
      <c r="N445" s="70"/>
      <c r="O445" s="70"/>
      <c r="P445" s="70"/>
      <c r="Q445" s="70"/>
      <c r="R445" s="70"/>
      <c r="S445" s="70"/>
      <c r="T445" s="70"/>
      <c r="U445" s="70"/>
      <c r="V445" s="70"/>
      <c r="W445" s="70"/>
    </row>
    <row r="446" ht="14.25" customHeight="1">
      <c r="A446" s="70"/>
      <c r="B446" s="70"/>
      <c r="C446" s="70"/>
      <c r="D446" s="70"/>
      <c r="E446" s="5"/>
      <c r="F446" s="70"/>
      <c r="G446" s="70"/>
      <c r="H446" s="70"/>
      <c r="I446" s="70"/>
      <c r="J446" s="70"/>
      <c r="K446" s="70"/>
      <c r="L446" s="70"/>
      <c r="M446" s="70"/>
      <c r="N446" s="70"/>
      <c r="O446" s="70"/>
      <c r="P446" s="70"/>
      <c r="Q446" s="70"/>
      <c r="R446" s="70"/>
      <c r="S446" s="70"/>
      <c r="T446" s="70"/>
      <c r="U446" s="70"/>
      <c r="V446" s="70"/>
      <c r="W446" s="70"/>
    </row>
    <row r="447" ht="14.25" customHeight="1">
      <c r="A447" s="70"/>
      <c r="B447" s="70"/>
      <c r="C447" s="70"/>
      <c r="D447" s="70"/>
      <c r="E447" s="5"/>
      <c r="F447" s="70"/>
      <c r="G447" s="70"/>
      <c r="H447" s="70"/>
      <c r="I447" s="70"/>
      <c r="J447" s="70"/>
      <c r="K447" s="70"/>
      <c r="L447" s="70"/>
      <c r="M447" s="70"/>
      <c r="N447" s="70"/>
      <c r="O447" s="70"/>
      <c r="P447" s="70"/>
      <c r="Q447" s="70"/>
      <c r="R447" s="70"/>
      <c r="S447" s="70"/>
      <c r="T447" s="70"/>
      <c r="U447" s="70"/>
      <c r="V447" s="70"/>
      <c r="W447" s="70"/>
    </row>
    <row r="448" ht="14.25" customHeight="1">
      <c r="A448" s="70"/>
      <c r="B448" s="70"/>
      <c r="C448" s="70"/>
      <c r="D448" s="70"/>
      <c r="E448" s="5"/>
      <c r="F448" s="70"/>
      <c r="G448" s="70"/>
      <c r="H448" s="70"/>
      <c r="I448" s="70"/>
      <c r="J448" s="70"/>
      <c r="K448" s="70"/>
      <c r="L448" s="70"/>
      <c r="M448" s="70"/>
      <c r="N448" s="70"/>
      <c r="O448" s="70"/>
      <c r="P448" s="70"/>
      <c r="Q448" s="70"/>
      <c r="R448" s="70"/>
      <c r="S448" s="70"/>
      <c r="T448" s="70"/>
      <c r="U448" s="70"/>
      <c r="V448" s="70"/>
      <c r="W448" s="70"/>
    </row>
    <row r="449" ht="14.25" customHeight="1">
      <c r="A449" s="70"/>
      <c r="B449" s="70"/>
      <c r="C449" s="70"/>
      <c r="D449" s="70"/>
      <c r="E449" s="5"/>
      <c r="F449" s="70"/>
      <c r="G449" s="70"/>
      <c r="H449" s="70"/>
      <c r="I449" s="70"/>
      <c r="J449" s="70"/>
      <c r="K449" s="70"/>
      <c r="L449" s="70"/>
      <c r="M449" s="70"/>
      <c r="N449" s="70"/>
      <c r="O449" s="70"/>
      <c r="P449" s="70"/>
      <c r="Q449" s="70"/>
      <c r="R449" s="70"/>
      <c r="S449" s="70"/>
      <c r="T449" s="70"/>
      <c r="U449" s="70"/>
      <c r="V449" s="70"/>
      <c r="W449" s="70"/>
    </row>
    <row r="450" ht="14.25" customHeight="1">
      <c r="A450" s="70"/>
      <c r="B450" s="70"/>
      <c r="C450" s="70"/>
      <c r="D450" s="70"/>
      <c r="E450" s="5"/>
      <c r="F450" s="70"/>
      <c r="G450" s="70"/>
      <c r="H450" s="70"/>
      <c r="I450" s="70"/>
      <c r="J450" s="70"/>
      <c r="K450" s="70"/>
      <c r="L450" s="70"/>
      <c r="M450" s="70"/>
      <c r="N450" s="70"/>
      <c r="O450" s="70"/>
      <c r="P450" s="70"/>
      <c r="Q450" s="70"/>
      <c r="R450" s="70"/>
      <c r="S450" s="70"/>
      <c r="T450" s="70"/>
      <c r="U450" s="70"/>
      <c r="V450" s="70"/>
      <c r="W450" s="70"/>
    </row>
    <row r="451" ht="14.25" customHeight="1">
      <c r="A451" s="70"/>
      <c r="B451" s="70"/>
      <c r="C451" s="70"/>
      <c r="D451" s="70"/>
      <c r="E451" s="5"/>
      <c r="F451" s="70"/>
      <c r="G451" s="70"/>
      <c r="H451" s="70"/>
      <c r="I451" s="70"/>
      <c r="J451" s="70"/>
      <c r="K451" s="70"/>
      <c r="L451" s="70"/>
      <c r="M451" s="70"/>
      <c r="N451" s="70"/>
      <c r="O451" s="70"/>
      <c r="P451" s="70"/>
      <c r="Q451" s="70"/>
      <c r="R451" s="70"/>
      <c r="S451" s="70"/>
      <c r="T451" s="70"/>
      <c r="U451" s="70"/>
      <c r="V451" s="70"/>
      <c r="W451" s="70"/>
    </row>
    <row r="452" ht="14.25" customHeight="1">
      <c r="A452" s="70"/>
      <c r="B452" s="70"/>
      <c r="C452" s="70"/>
      <c r="D452" s="70"/>
      <c r="E452" s="5"/>
      <c r="F452" s="70"/>
      <c r="G452" s="70"/>
      <c r="H452" s="70"/>
      <c r="I452" s="70"/>
      <c r="J452" s="70"/>
      <c r="K452" s="70"/>
      <c r="L452" s="70"/>
      <c r="M452" s="70"/>
      <c r="N452" s="70"/>
      <c r="O452" s="70"/>
      <c r="P452" s="70"/>
      <c r="Q452" s="70"/>
      <c r="R452" s="70"/>
      <c r="S452" s="70"/>
      <c r="T452" s="70"/>
      <c r="U452" s="70"/>
      <c r="V452" s="70"/>
      <c r="W452" s="70"/>
    </row>
    <row r="453" ht="14.25" customHeight="1">
      <c r="A453" s="70"/>
      <c r="B453" s="70"/>
      <c r="C453" s="70"/>
      <c r="D453" s="70"/>
      <c r="E453" s="5"/>
      <c r="F453" s="70"/>
      <c r="G453" s="70"/>
      <c r="H453" s="70"/>
      <c r="I453" s="70"/>
      <c r="J453" s="70"/>
      <c r="K453" s="70"/>
      <c r="L453" s="70"/>
      <c r="M453" s="70"/>
      <c r="N453" s="70"/>
      <c r="O453" s="70"/>
      <c r="P453" s="70"/>
      <c r="Q453" s="70"/>
      <c r="R453" s="70"/>
      <c r="S453" s="70"/>
      <c r="T453" s="70"/>
      <c r="U453" s="70"/>
      <c r="V453" s="70"/>
      <c r="W453" s="70"/>
    </row>
    <row r="454" ht="14.25" customHeight="1">
      <c r="A454" s="70"/>
      <c r="B454" s="70"/>
      <c r="C454" s="70"/>
      <c r="D454" s="70"/>
      <c r="E454" s="5"/>
      <c r="F454" s="70"/>
      <c r="G454" s="70"/>
      <c r="H454" s="70"/>
      <c r="I454" s="70"/>
      <c r="J454" s="70"/>
      <c r="K454" s="70"/>
      <c r="L454" s="70"/>
      <c r="M454" s="70"/>
      <c r="N454" s="70"/>
      <c r="O454" s="70"/>
      <c r="P454" s="70"/>
      <c r="Q454" s="70"/>
      <c r="R454" s="70"/>
      <c r="S454" s="70"/>
      <c r="T454" s="70"/>
      <c r="U454" s="70"/>
      <c r="V454" s="70"/>
      <c r="W454" s="70"/>
    </row>
    <row r="455" ht="14.25" customHeight="1">
      <c r="A455" s="70"/>
      <c r="B455" s="70"/>
      <c r="C455" s="70"/>
      <c r="D455" s="70"/>
      <c r="E455" s="5"/>
      <c r="F455" s="70"/>
      <c r="G455" s="70"/>
      <c r="H455" s="70"/>
      <c r="I455" s="70"/>
      <c r="J455" s="70"/>
      <c r="K455" s="70"/>
      <c r="L455" s="70"/>
      <c r="M455" s="70"/>
      <c r="N455" s="70"/>
      <c r="O455" s="70"/>
      <c r="P455" s="70"/>
      <c r="Q455" s="70"/>
      <c r="R455" s="70"/>
      <c r="S455" s="70"/>
      <c r="T455" s="70"/>
      <c r="U455" s="70"/>
      <c r="V455" s="70"/>
      <c r="W455" s="70"/>
    </row>
    <row r="456" ht="14.25" customHeight="1">
      <c r="A456" s="70"/>
      <c r="B456" s="70"/>
      <c r="C456" s="70"/>
      <c r="D456" s="70"/>
      <c r="E456" s="5"/>
      <c r="F456" s="70"/>
      <c r="G456" s="70"/>
      <c r="H456" s="70"/>
      <c r="I456" s="70"/>
      <c r="J456" s="70"/>
      <c r="K456" s="70"/>
      <c r="L456" s="70"/>
      <c r="M456" s="70"/>
      <c r="N456" s="70"/>
      <c r="O456" s="70"/>
      <c r="P456" s="70"/>
      <c r="Q456" s="70"/>
      <c r="R456" s="70"/>
      <c r="S456" s="70"/>
      <c r="T456" s="70"/>
      <c r="U456" s="70"/>
      <c r="V456" s="70"/>
      <c r="W456" s="70"/>
    </row>
    <row r="457" ht="14.25" customHeight="1">
      <c r="A457" s="70"/>
      <c r="B457" s="70"/>
      <c r="C457" s="70"/>
      <c r="D457" s="70"/>
      <c r="E457" s="5"/>
      <c r="F457" s="70"/>
      <c r="G457" s="70"/>
      <c r="H457" s="70"/>
      <c r="I457" s="70"/>
      <c r="J457" s="70"/>
      <c r="K457" s="70"/>
      <c r="L457" s="70"/>
      <c r="M457" s="70"/>
      <c r="N457" s="70"/>
      <c r="O457" s="70"/>
      <c r="P457" s="70"/>
      <c r="Q457" s="70"/>
      <c r="R457" s="70"/>
      <c r="S457" s="70"/>
      <c r="T457" s="70"/>
      <c r="U457" s="70"/>
      <c r="V457" s="70"/>
      <c r="W457" s="70"/>
    </row>
    <row r="458" ht="14.25" customHeight="1">
      <c r="A458" s="70"/>
      <c r="B458" s="70"/>
      <c r="C458" s="70"/>
      <c r="D458" s="70"/>
      <c r="E458" s="5"/>
      <c r="F458" s="70"/>
      <c r="G458" s="70"/>
      <c r="H458" s="70"/>
      <c r="I458" s="70"/>
      <c r="J458" s="70"/>
      <c r="K458" s="70"/>
      <c r="L458" s="70"/>
      <c r="M458" s="70"/>
      <c r="N458" s="70"/>
      <c r="O458" s="70"/>
      <c r="P458" s="70"/>
      <c r="Q458" s="70"/>
      <c r="R458" s="70"/>
      <c r="S458" s="70"/>
      <c r="T458" s="70"/>
      <c r="U458" s="70"/>
      <c r="V458" s="70"/>
      <c r="W458" s="70"/>
    </row>
    <row r="459" ht="14.25" customHeight="1">
      <c r="A459" s="70"/>
      <c r="B459" s="70"/>
      <c r="C459" s="70"/>
      <c r="D459" s="70"/>
      <c r="E459" s="5"/>
      <c r="F459" s="70"/>
      <c r="G459" s="70"/>
      <c r="H459" s="70"/>
      <c r="I459" s="70"/>
      <c r="J459" s="70"/>
      <c r="K459" s="70"/>
      <c r="L459" s="70"/>
      <c r="M459" s="70"/>
      <c r="N459" s="70"/>
      <c r="O459" s="70"/>
      <c r="P459" s="70"/>
      <c r="Q459" s="70"/>
      <c r="R459" s="70"/>
      <c r="S459" s="70"/>
      <c r="T459" s="70"/>
      <c r="U459" s="70"/>
      <c r="V459" s="70"/>
      <c r="W459" s="70"/>
    </row>
    <row r="460" ht="14.25" customHeight="1">
      <c r="A460" s="70"/>
      <c r="B460" s="70"/>
      <c r="C460" s="70"/>
      <c r="D460" s="70"/>
      <c r="E460" s="5"/>
      <c r="F460" s="70"/>
      <c r="G460" s="70"/>
      <c r="H460" s="70"/>
      <c r="I460" s="70"/>
      <c r="J460" s="70"/>
      <c r="K460" s="70"/>
      <c r="L460" s="70"/>
      <c r="M460" s="70"/>
      <c r="N460" s="70"/>
      <c r="O460" s="70"/>
      <c r="P460" s="70"/>
      <c r="Q460" s="70"/>
      <c r="R460" s="70"/>
      <c r="S460" s="70"/>
      <c r="T460" s="70"/>
      <c r="U460" s="70"/>
      <c r="V460" s="70"/>
      <c r="W460" s="70"/>
    </row>
    <row r="461" ht="14.25" customHeight="1">
      <c r="A461" s="70"/>
      <c r="B461" s="70"/>
      <c r="C461" s="70"/>
      <c r="D461" s="70"/>
      <c r="E461" s="5"/>
      <c r="F461" s="70"/>
      <c r="G461" s="70"/>
      <c r="H461" s="70"/>
      <c r="I461" s="70"/>
      <c r="J461" s="70"/>
      <c r="K461" s="70"/>
      <c r="L461" s="70"/>
      <c r="M461" s="70"/>
      <c r="N461" s="70"/>
      <c r="O461" s="70"/>
      <c r="P461" s="70"/>
      <c r="Q461" s="70"/>
      <c r="R461" s="70"/>
      <c r="S461" s="70"/>
      <c r="T461" s="70"/>
      <c r="U461" s="70"/>
      <c r="V461" s="70"/>
      <c r="W461" s="70"/>
    </row>
    <row r="462" ht="14.25" customHeight="1">
      <c r="A462" s="70"/>
      <c r="B462" s="70"/>
      <c r="C462" s="70"/>
      <c r="D462" s="70"/>
      <c r="E462" s="5"/>
      <c r="F462" s="70"/>
      <c r="G462" s="70"/>
      <c r="H462" s="70"/>
      <c r="I462" s="70"/>
      <c r="J462" s="70"/>
      <c r="K462" s="70"/>
      <c r="L462" s="70"/>
      <c r="M462" s="70"/>
      <c r="N462" s="70"/>
      <c r="O462" s="70"/>
      <c r="P462" s="70"/>
      <c r="Q462" s="70"/>
      <c r="R462" s="70"/>
      <c r="S462" s="70"/>
      <c r="T462" s="70"/>
      <c r="U462" s="70"/>
      <c r="V462" s="70"/>
      <c r="W462" s="70"/>
    </row>
    <row r="463" ht="14.25" customHeight="1">
      <c r="A463" s="70"/>
      <c r="B463" s="70"/>
      <c r="C463" s="70"/>
      <c r="D463" s="70"/>
      <c r="E463" s="5"/>
      <c r="F463" s="70"/>
      <c r="G463" s="70"/>
      <c r="H463" s="70"/>
      <c r="I463" s="70"/>
      <c r="J463" s="70"/>
      <c r="K463" s="70"/>
      <c r="L463" s="70"/>
      <c r="M463" s="70"/>
      <c r="N463" s="70"/>
      <c r="O463" s="70"/>
      <c r="P463" s="70"/>
      <c r="Q463" s="70"/>
      <c r="R463" s="70"/>
      <c r="S463" s="70"/>
      <c r="T463" s="70"/>
      <c r="U463" s="70"/>
      <c r="V463" s="70"/>
      <c r="W463" s="70"/>
    </row>
    <row r="464" ht="14.25" customHeight="1">
      <c r="A464" s="70"/>
      <c r="B464" s="70"/>
      <c r="C464" s="70"/>
      <c r="D464" s="70"/>
      <c r="E464" s="5"/>
      <c r="F464" s="70"/>
      <c r="G464" s="70"/>
      <c r="H464" s="70"/>
      <c r="I464" s="70"/>
      <c r="J464" s="70"/>
      <c r="K464" s="70"/>
      <c r="L464" s="70"/>
      <c r="M464" s="70"/>
      <c r="N464" s="70"/>
      <c r="O464" s="70"/>
      <c r="P464" s="70"/>
      <c r="Q464" s="70"/>
      <c r="R464" s="70"/>
      <c r="S464" s="70"/>
      <c r="T464" s="70"/>
      <c r="U464" s="70"/>
      <c r="V464" s="70"/>
      <c r="W464" s="70"/>
    </row>
    <row r="465" ht="14.25" customHeight="1">
      <c r="A465" s="70"/>
      <c r="B465" s="70"/>
      <c r="C465" s="70"/>
      <c r="D465" s="70"/>
      <c r="E465" s="5"/>
      <c r="F465" s="70"/>
      <c r="G465" s="70"/>
      <c r="H465" s="70"/>
      <c r="I465" s="70"/>
      <c r="J465" s="70"/>
      <c r="K465" s="70"/>
      <c r="L465" s="70"/>
      <c r="M465" s="70"/>
      <c r="N465" s="70"/>
      <c r="O465" s="70"/>
      <c r="P465" s="70"/>
      <c r="Q465" s="70"/>
      <c r="R465" s="70"/>
      <c r="S465" s="70"/>
      <c r="T465" s="70"/>
      <c r="U465" s="70"/>
      <c r="V465" s="70"/>
      <c r="W465" s="70"/>
    </row>
    <row r="466" ht="14.25" customHeight="1">
      <c r="A466" s="70"/>
      <c r="B466" s="70"/>
      <c r="C466" s="70"/>
      <c r="D466" s="70"/>
      <c r="E466" s="5"/>
      <c r="F466" s="70"/>
      <c r="G466" s="70"/>
      <c r="H466" s="70"/>
      <c r="I466" s="70"/>
      <c r="J466" s="70"/>
      <c r="K466" s="70"/>
      <c r="L466" s="70"/>
      <c r="M466" s="70"/>
      <c r="N466" s="70"/>
      <c r="O466" s="70"/>
      <c r="P466" s="70"/>
      <c r="Q466" s="70"/>
      <c r="R466" s="70"/>
      <c r="S466" s="70"/>
      <c r="T466" s="70"/>
      <c r="U466" s="70"/>
      <c r="V466" s="70"/>
      <c r="W466" s="70"/>
    </row>
    <row r="467" ht="14.25" customHeight="1">
      <c r="A467" s="70"/>
      <c r="B467" s="70"/>
      <c r="C467" s="70"/>
      <c r="D467" s="70"/>
      <c r="E467" s="5"/>
      <c r="F467" s="70"/>
      <c r="G467" s="70"/>
      <c r="H467" s="70"/>
      <c r="I467" s="70"/>
      <c r="J467" s="70"/>
      <c r="K467" s="70"/>
      <c r="L467" s="70"/>
      <c r="M467" s="70"/>
      <c r="N467" s="70"/>
      <c r="O467" s="70"/>
      <c r="P467" s="70"/>
      <c r="Q467" s="70"/>
      <c r="R467" s="70"/>
      <c r="S467" s="70"/>
      <c r="T467" s="70"/>
      <c r="U467" s="70"/>
      <c r="V467" s="70"/>
      <c r="W467" s="70"/>
    </row>
    <row r="468" ht="14.25" customHeight="1">
      <c r="A468" s="70"/>
      <c r="B468" s="70"/>
      <c r="C468" s="70"/>
      <c r="D468" s="70"/>
      <c r="E468" s="5"/>
      <c r="F468" s="70"/>
      <c r="G468" s="70"/>
      <c r="H468" s="70"/>
      <c r="I468" s="70"/>
      <c r="J468" s="70"/>
      <c r="K468" s="70"/>
      <c r="L468" s="70"/>
      <c r="M468" s="70"/>
      <c r="N468" s="70"/>
      <c r="O468" s="70"/>
      <c r="P468" s="70"/>
      <c r="Q468" s="70"/>
      <c r="R468" s="70"/>
      <c r="S468" s="70"/>
      <c r="T468" s="70"/>
      <c r="U468" s="70"/>
      <c r="V468" s="70"/>
      <c r="W468" s="70"/>
    </row>
    <row r="469" ht="14.25" customHeight="1">
      <c r="A469" s="70"/>
      <c r="B469" s="70"/>
      <c r="C469" s="70"/>
      <c r="D469" s="70"/>
      <c r="E469" s="5"/>
      <c r="F469" s="70"/>
      <c r="G469" s="70"/>
      <c r="H469" s="70"/>
      <c r="I469" s="70"/>
      <c r="J469" s="70"/>
      <c r="K469" s="70"/>
      <c r="L469" s="70"/>
      <c r="M469" s="70"/>
      <c r="N469" s="70"/>
      <c r="O469" s="70"/>
      <c r="P469" s="70"/>
      <c r="Q469" s="70"/>
      <c r="R469" s="70"/>
      <c r="S469" s="70"/>
      <c r="T469" s="70"/>
      <c r="U469" s="70"/>
      <c r="V469" s="70"/>
      <c r="W469" s="70"/>
    </row>
    <row r="470" ht="14.25" customHeight="1">
      <c r="A470" s="70"/>
      <c r="B470" s="70"/>
      <c r="C470" s="70"/>
      <c r="D470" s="70"/>
      <c r="E470" s="5"/>
      <c r="F470" s="70"/>
      <c r="G470" s="70"/>
      <c r="H470" s="70"/>
      <c r="I470" s="70"/>
      <c r="J470" s="70"/>
      <c r="K470" s="70"/>
      <c r="L470" s="70"/>
      <c r="M470" s="70"/>
      <c r="N470" s="70"/>
      <c r="O470" s="70"/>
      <c r="P470" s="70"/>
      <c r="Q470" s="70"/>
      <c r="R470" s="70"/>
      <c r="S470" s="70"/>
      <c r="T470" s="70"/>
      <c r="U470" s="70"/>
      <c r="V470" s="70"/>
      <c r="W470" s="70"/>
    </row>
    <row r="471" ht="14.25" customHeight="1">
      <c r="A471" s="70"/>
      <c r="B471" s="70"/>
      <c r="C471" s="70"/>
      <c r="D471" s="70"/>
      <c r="E471" s="5"/>
      <c r="F471" s="70"/>
      <c r="G471" s="70"/>
      <c r="H471" s="70"/>
      <c r="I471" s="70"/>
      <c r="J471" s="70"/>
      <c r="K471" s="70"/>
      <c r="L471" s="70"/>
      <c r="M471" s="70"/>
      <c r="N471" s="70"/>
      <c r="O471" s="70"/>
      <c r="P471" s="70"/>
      <c r="Q471" s="70"/>
      <c r="R471" s="70"/>
      <c r="S471" s="70"/>
      <c r="T471" s="70"/>
      <c r="U471" s="70"/>
      <c r="V471" s="70"/>
      <c r="W471" s="70"/>
    </row>
    <row r="472" ht="14.25" customHeight="1">
      <c r="A472" s="70"/>
      <c r="B472" s="70"/>
      <c r="C472" s="70"/>
      <c r="D472" s="70"/>
      <c r="E472" s="5"/>
      <c r="F472" s="70"/>
      <c r="G472" s="70"/>
      <c r="H472" s="70"/>
      <c r="I472" s="70"/>
      <c r="J472" s="70"/>
      <c r="K472" s="70"/>
      <c r="L472" s="70"/>
      <c r="M472" s="70"/>
      <c r="N472" s="70"/>
      <c r="O472" s="70"/>
      <c r="P472" s="70"/>
      <c r="Q472" s="70"/>
      <c r="R472" s="70"/>
      <c r="S472" s="70"/>
      <c r="T472" s="70"/>
      <c r="U472" s="70"/>
      <c r="V472" s="70"/>
      <c r="W472" s="70"/>
    </row>
    <row r="473" ht="14.25" customHeight="1">
      <c r="A473" s="70"/>
      <c r="B473" s="70"/>
      <c r="C473" s="70"/>
      <c r="D473" s="70"/>
      <c r="E473" s="5"/>
      <c r="F473" s="70"/>
      <c r="G473" s="70"/>
      <c r="H473" s="70"/>
      <c r="I473" s="70"/>
      <c r="J473" s="70"/>
      <c r="K473" s="70"/>
      <c r="L473" s="70"/>
      <c r="M473" s="70"/>
      <c r="N473" s="70"/>
      <c r="O473" s="70"/>
      <c r="P473" s="70"/>
      <c r="Q473" s="70"/>
      <c r="R473" s="70"/>
      <c r="S473" s="70"/>
      <c r="T473" s="70"/>
      <c r="U473" s="70"/>
      <c r="V473" s="70"/>
      <c r="W473" s="70"/>
    </row>
    <row r="474" ht="14.25" customHeight="1">
      <c r="A474" s="70"/>
      <c r="B474" s="70"/>
      <c r="C474" s="70"/>
      <c r="D474" s="70"/>
      <c r="E474" s="5"/>
      <c r="F474" s="70"/>
      <c r="G474" s="70"/>
      <c r="H474" s="70"/>
      <c r="I474" s="70"/>
      <c r="J474" s="70"/>
      <c r="K474" s="70"/>
      <c r="L474" s="70"/>
      <c r="M474" s="70"/>
      <c r="N474" s="70"/>
      <c r="O474" s="70"/>
      <c r="P474" s="70"/>
      <c r="Q474" s="70"/>
      <c r="R474" s="70"/>
      <c r="S474" s="70"/>
      <c r="T474" s="70"/>
      <c r="U474" s="70"/>
      <c r="V474" s="70"/>
      <c r="W474" s="70"/>
    </row>
    <row r="475" ht="14.25" customHeight="1">
      <c r="A475" s="70"/>
      <c r="B475" s="70"/>
      <c r="C475" s="70"/>
      <c r="D475" s="70"/>
      <c r="E475" s="5"/>
      <c r="F475" s="70"/>
      <c r="G475" s="70"/>
      <c r="H475" s="70"/>
      <c r="I475" s="70"/>
      <c r="J475" s="70"/>
      <c r="K475" s="70"/>
      <c r="L475" s="70"/>
      <c r="M475" s="70"/>
      <c r="N475" s="70"/>
      <c r="O475" s="70"/>
      <c r="P475" s="70"/>
      <c r="Q475" s="70"/>
      <c r="R475" s="70"/>
      <c r="S475" s="70"/>
      <c r="T475" s="70"/>
      <c r="U475" s="70"/>
      <c r="V475" s="70"/>
      <c r="W475" s="70"/>
    </row>
    <row r="476" ht="14.25" customHeight="1">
      <c r="A476" s="70"/>
      <c r="B476" s="70"/>
      <c r="C476" s="70"/>
      <c r="D476" s="70"/>
      <c r="E476" s="5"/>
      <c r="F476" s="70"/>
      <c r="G476" s="70"/>
      <c r="H476" s="70"/>
      <c r="I476" s="70"/>
      <c r="J476" s="70"/>
      <c r="K476" s="70"/>
      <c r="L476" s="70"/>
      <c r="M476" s="70"/>
      <c r="N476" s="70"/>
      <c r="O476" s="70"/>
      <c r="P476" s="70"/>
      <c r="Q476" s="70"/>
      <c r="R476" s="70"/>
      <c r="S476" s="70"/>
      <c r="T476" s="70"/>
      <c r="U476" s="70"/>
      <c r="V476" s="70"/>
      <c r="W476" s="70"/>
    </row>
    <row r="477" ht="14.25" customHeight="1">
      <c r="A477" s="70"/>
      <c r="B477" s="70"/>
      <c r="C477" s="70"/>
      <c r="D477" s="70"/>
      <c r="E477" s="5"/>
      <c r="F477" s="70"/>
      <c r="G477" s="70"/>
      <c r="H477" s="70"/>
      <c r="I477" s="70"/>
      <c r="J477" s="70"/>
      <c r="K477" s="70"/>
      <c r="L477" s="70"/>
      <c r="M477" s="70"/>
      <c r="N477" s="70"/>
      <c r="O477" s="70"/>
      <c r="P477" s="70"/>
      <c r="Q477" s="70"/>
      <c r="R477" s="70"/>
      <c r="S477" s="70"/>
      <c r="T477" s="70"/>
      <c r="U477" s="70"/>
      <c r="V477" s="70"/>
      <c r="W477" s="70"/>
    </row>
    <row r="478" ht="14.25" customHeight="1">
      <c r="A478" s="70"/>
      <c r="B478" s="70"/>
      <c r="C478" s="70"/>
      <c r="D478" s="70"/>
      <c r="E478" s="5"/>
      <c r="F478" s="70"/>
      <c r="G478" s="70"/>
      <c r="H478" s="70"/>
      <c r="I478" s="70"/>
      <c r="J478" s="70"/>
      <c r="K478" s="70"/>
      <c r="L478" s="70"/>
      <c r="M478" s="70"/>
      <c r="N478" s="70"/>
      <c r="O478" s="70"/>
      <c r="P478" s="70"/>
      <c r="Q478" s="70"/>
      <c r="R478" s="70"/>
      <c r="S478" s="70"/>
      <c r="T478" s="70"/>
      <c r="U478" s="70"/>
      <c r="V478" s="70"/>
      <c r="W478" s="70"/>
    </row>
    <row r="479" ht="14.25" customHeight="1">
      <c r="A479" s="70"/>
      <c r="B479" s="70"/>
      <c r="C479" s="70"/>
      <c r="D479" s="70"/>
      <c r="E479" s="5"/>
      <c r="F479" s="70"/>
      <c r="G479" s="70"/>
      <c r="H479" s="70"/>
      <c r="I479" s="70"/>
      <c r="J479" s="70"/>
      <c r="K479" s="70"/>
      <c r="L479" s="70"/>
      <c r="M479" s="70"/>
      <c r="N479" s="70"/>
      <c r="O479" s="70"/>
      <c r="P479" s="70"/>
      <c r="Q479" s="70"/>
      <c r="R479" s="70"/>
      <c r="S479" s="70"/>
      <c r="T479" s="70"/>
      <c r="U479" s="70"/>
      <c r="V479" s="70"/>
      <c r="W479" s="70"/>
    </row>
    <row r="480" ht="14.25" customHeight="1">
      <c r="A480" s="70"/>
      <c r="B480" s="70"/>
      <c r="C480" s="70"/>
      <c r="D480" s="70"/>
      <c r="E480" s="5"/>
      <c r="F480" s="70"/>
      <c r="G480" s="70"/>
      <c r="H480" s="70"/>
      <c r="I480" s="70"/>
      <c r="J480" s="70"/>
      <c r="K480" s="70"/>
      <c r="L480" s="70"/>
      <c r="M480" s="70"/>
      <c r="N480" s="70"/>
      <c r="O480" s="70"/>
      <c r="P480" s="70"/>
      <c r="Q480" s="70"/>
      <c r="R480" s="70"/>
      <c r="S480" s="70"/>
      <c r="T480" s="70"/>
      <c r="U480" s="70"/>
      <c r="V480" s="70"/>
      <c r="W480" s="70"/>
    </row>
    <row r="481" ht="14.25" customHeight="1">
      <c r="A481" s="70"/>
      <c r="B481" s="70"/>
      <c r="C481" s="70"/>
      <c r="D481" s="70"/>
      <c r="E481" s="5"/>
      <c r="F481" s="70"/>
      <c r="G481" s="70"/>
      <c r="H481" s="70"/>
      <c r="I481" s="70"/>
      <c r="J481" s="70"/>
      <c r="K481" s="70"/>
      <c r="L481" s="70"/>
      <c r="M481" s="70"/>
      <c r="N481" s="70"/>
      <c r="O481" s="70"/>
      <c r="P481" s="70"/>
      <c r="Q481" s="70"/>
      <c r="R481" s="70"/>
      <c r="S481" s="70"/>
      <c r="T481" s="70"/>
      <c r="U481" s="70"/>
      <c r="V481" s="70"/>
      <c r="W481" s="70"/>
    </row>
    <row r="482" ht="14.25" customHeight="1">
      <c r="A482" s="70"/>
      <c r="B482" s="70"/>
      <c r="C482" s="70"/>
      <c r="D482" s="70"/>
      <c r="E482" s="5"/>
      <c r="F482" s="70"/>
      <c r="G482" s="70"/>
      <c r="H482" s="70"/>
      <c r="I482" s="70"/>
      <c r="J482" s="70"/>
      <c r="K482" s="70"/>
      <c r="L482" s="70"/>
      <c r="M482" s="70"/>
      <c r="N482" s="70"/>
      <c r="O482" s="70"/>
      <c r="P482" s="70"/>
      <c r="Q482" s="70"/>
      <c r="R482" s="70"/>
      <c r="S482" s="70"/>
      <c r="T482" s="70"/>
      <c r="U482" s="70"/>
      <c r="V482" s="70"/>
      <c r="W482" s="70"/>
    </row>
    <row r="483" ht="14.25" customHeight="1">
      <c r="A483" s="70"/>
      <c r="B483" s="70"/>
      <c r="C483" s="70"/>
      <c r="D483" s="70"/>
      <c r="E483" s="5"/>
      <c r="F483" s="70"/>
      <c r="G483" s="70"/>
      <c r="H483" s="70"/>
      <c r="I483" s="70"/>
      <c r="J483" s="70"/>
      <c r="K483" s="70"/>
      <c r="L483" s="70"/>
      <c r="M483" s="70"/>
      <c r="N483" s="70"/>
      <c r="O483" s="70"/>
      <c r="P483" s="70"/>
      <c r="Q483" s="70"/>
      <c r="R483" s="70"/>
      <c r="S483" s="70"/>
      <c r="T483" s="70"/>
      <c r="U483" s="70"/>
      <c r="V483" s="70"/>
      <c r="W483" s="70"/>
    </row>
    <row r="484" ht="14.25" customHeight="1">
      <c r="A484" s="70"/>
      <c r="B484" s="70"/>
      <c r="C484" s="70"/>
      <c r="D484" s="70"/>
      <c r="E484" s="5"/>
      <c r="F484" s="70"/>
      <c r="G484" s="70"/>
      <c r="H484" s="70"/>
      <c r="I484" s="70"/>
      <c r="J484" s="70"/>
      <c r="K484" s="70"/>
      <c r="L484" s="70"/>
      <c r="M484" s="70"/>
      <c r="N484" s="70"/>
      <c r="O484" s="70"/>
      <c r="P484" s="70"/>
      <c r="Q484" s="70"/>
      <c r="R484" s="70"/>
      <c r="S484" s="70"/>
      <c r="T484" s="70"/>
      <c r="U484" s="70"/>
      <c r="V484" s="70"/>
      <c r="W484" s="70"/>
    </row>
    <row r="485" ht="14.25" customHeight="1">
      <c r="A485" s="70"/>
      <c r="B485" s="70"/>
      <c r="C485" s="70"/>
      <c r="D485" s="70"/>
      <c r="E485" s="5"/>
      <c r="F485" s="70"/>
      <c r="G485" s="70"/>
      <c r="H485" s="70"/>
      <c r="I485" s="70"/>
      <c r="J485" s="70"/>
      <c r="K485" s="70"/>
      <c r="L485" s="70"/>
      <c r="M485" s="70"/>
      <c r="N485" s="70"/>
      <c r="O485" s="70"/>
      <c r="P485" s="70"/>
      <c r="Q485" s="70"/>
      <c r="R485" s="70"/>
      <c r="S485" s="70"/>
      <c r="T485" s="70"/>
      <c r="U485" s="70"/>
      <c r="V485" s="70"/>
      <c r="W485" s="70"/>
    </row>
    <row r="486" ht="14.25" customHeight="1">
      <c r="A486" s="70"/>
      <c r="B486" s="70"/>
      <c r="C486" s="70"/>
      <c r="D486" s="70"/>
      <c r="E486" s="5"/>
      <c r="F486" s="70"/>
      <c r="G486" s="70"/>
      <c r="H486" s="70"/>
      <c r="I486" s="70"/>
      <c r="J486" s="70"/>
      <c r="K486" s="70"/>
      <c r="L486" s="70"/>
      <c r="M486" s="70"/>
      <c r="N486" s="70"/>
      <c r="O486" s="70"/>
      <c r="P486" s="70"/>
      <c r="Q486" s="70"/>
      <c r="R486" s="70"/>
      <c r="S486" s="70"/>
      <c r="T486" s="70"/>
      <c r="U486" s="70"/>
      <c r="V486" s="70"/>
      <c r="W486" s="70"/>
    </row>
    <row r="487" ht="14.25" customHeight="1">
      <c r="A487" s="70"/>
      <c r="B487" s="70"/>
      <c r="C487" s="70"/>
      <c r="D487" s="70"/>
      <c r="E487" s="5"/>
      <c r="F487" s="70"/>
      <c r="G487" s="70"/>
      <c r="H487" s="70"/>
      <c r="I487" s="70"/>
      <c r="J487" s="70"/>
      <c r="K487" s="70"/>
      <c r="L487" s="70"/>
      <c r="M487" s="70"/>
      <c r="N487" s="70"/>
      <c r="O487" s="70"/>
      <c r="P487" s="70"/>
      <c r="Q487" s="70"/>
      <c r="R487" s="70"/>
      <c r="S487" s="70"/>
      <c r="T487" s="70"/>
      <c r="U487" s="70"/>
      <c r="V487" s="70"/>
      <c r="W487" s="70"/>
    </row>
    <row r="488" ht="14.25" customHeight="1">
      <c r="A488" s="70"/>
      <c r="B488" s="70"/>
      <c r="C488" s="70"/>
      <c r="D488" s="70"/>
      <c r="E488" s="5"/>
      <c r="F488" s="70"/>
      <c r="G488" s="70"/>
      <c r="H488" s="70"/>
      <c r="I488" s="70"/>
      <c r="J488" s="70"/>
      <c r="K488" s="70"/>
      <c r="L488" s="70"/>
      <c r="M488" s="70"/>
      <c r="N488" s="70"/>
      <c r="O488" s="70"/>
      <c r="P488" s="70"/>
      <c r="Q488" s="70"/>
      <c r="R488" s="70"/>
      <c r="S488" s="70"/>
      <c r="T488" s="70"/>
      <c r="U488" s="70"/>
      <c r="V488" s="70"/>
      <c r="W488" s="70"/>
    </row>
    <row r="489" ht="14.25" customHeight="1">
      <c r="A489" s="70"/>
      <c r="B489" s="70"/>
      <c r="C489" s="70"/>
      <c r="D489" s="70"/>
      <c r="E489" s="5"/>
      <c r="F489" s="70"/>
      <c r="G489" s="70"/>
      <c r="H489" s="70"/>
      <c r="I489" s="70"/>
      <c r="J489" s="70"/>
      <c r="K489" s="70"/>
      <c r="L489" s="70"/>
      <c r="M489" s="70"/>
      <c r="N489" s="70"/>
      <c r="O489" s="70"/>
      <c r="P489" s="70"/>
      <c r="Q489" s="70"/>
      <c r="R489" s="70"/>
      <c r="S489" s="70"/>
      <c r="T489" s="70"/>
      <c r="U489" s="70"/>
      <c r="V489" s="70"/>
      <c r="W489" s="70"/>
    </row>
    <row r="490" ht="14.25" customHeight="1">
      <c r="A490" s="70"/>
      <c r="B490" s="70"/>
      <c r="C490" s="70"/>
      <c r="D490" s="70"/>
      <c r="E490" s="5"/>
      <c r="F490" s="70"/>
      <c r="G490" s="70"/>
      <c r="H490" s="70"/>
      <c r="I490" s="70"/>
      <c r="J490" s="70"/>
      <c r="K490" s="70"/>
      <c r="L490" s="70"/>
      <c r="M490" s="70"/>
      <c r="N490" s="70"/>
      <c r="O490" s="70"/>
      <c r="P490" s="70"/>
      <c r="Q490" s="70"/>
      <c r="R490" s="70"/>
      <c r="S490" s="70"/>
      <c r="T490" s="70"/>
      <c r="U490" s="70"/>
      <c r="V490" s="70"/>
      <c r="W490" s="70"/>
    </row>
    <row r="491" ht="14.25" customHeight="1">
      <c r="A491" s="70"/>
      <c r="B491" s="70"/>
      <c r="C491" s="70"/>
      <c r="D491" s="70"/>
      <c r="E491" s="5"/>
      <c r="F491" s="70"/>
      <c r="G491" s="70"/>
      <c r="H491" s="70"/>
      <c r="I491" s="70"/>
      <c r="J491" s="70"/>
      <c r="K491" s="70"/>
      <c r="L491" s="70"/>
      <c r="M491" s="70"/>
      <c r="N491" s="70"/>
      <c r="O491" s="70"/>
      <c r="P491" s="70"/>
      <c r="Q491" s="70"/>
      <c r="R491" s="70"/>
      <c r="S491" s="70"/>
      <c r="T491" s="70"/>
      <c r="U491" s="70"/>
      <c r="V491" s="70"/>
      <c r="W491" s="70"/>
    </row>
    <row r="492" ht="14.25" customHeight="1">
      <c r="A492" s="70"/>
      <c r="B492" s="70"/>
      <c r="C492" s="70"/>
      <c r="D492" s="70"/>
      <c r="E492" s="5"/>
      <c r="F492" s="70"/>
      <c r="G492" s="70"/>
      <c r="H492" s="70"/>
      <c r="I492" s="70"/>
      <c r="J492" s="70"/>
      <c r="K492" s="70"/>
      <c r="L492" s="70"/>
      <c r="M492" s="70"/>
      <c r="N492" s="70"/>
      <c r="O492" s="70"/>
      <c r="P492" s="70"/>
      <c r="Q492" s="70"/>
      <c r="R492" s="70"/>
      <c r="S492" s="70"/>
      <c r="T492" s="70"/>
      <c r="U492" s="70"/>
      <c r="V492" s="70"/>
      <c r="W492" s="70"/>
    </row>
    <row r="493" ht="14.25" customHeight="1">
      <c r="A493" s="70"/>
      <c r="B493" s="70"/>
      <c r="C493" s="70"/>
      <c r="D493" s="70"/>
      <c r="E493" s="5"/>
      <c r="F493" s="70"/>
      <c r="G493" s="70"/>
      <c r="H493" s="70"/>
      <c r="I493" s="70"/>
      <c r="J493" s="70"/>
      <c r="K493" s="70"/>
      <c r="L493" s="70"/>
      <c r="M493" s="70"/>
      <c r="N493" s="70"/>
      <c r="O493" s="70"/>
      <c r="P493" s="70"/>
      <c r="Q493" s="70"/>
      <c r="R493" s="70"/>
      <c r="S493" s="70"/>
      <c r="T493" s="70"/>
      <c r="U493" s="70"/>
      <c r="V493" s="70"/>
      <c r="W493" s="70"/>
    </row>
    <row r="494" ht="14.25" customHeight="1">
      <c r="A494" s="70"/>
      <c r="B494" s="70"/>
      <c r="C494" s="70"/>
      <c r="D494" s="70"/>
      <c r="E494" s="5"/>
      <c r="F494" s="70"/>
      <c r="G494" s="70"/>
      <c r="H494" s="70"/>
      <c r="I494" s="70"/>
      <c r="J494" s="70"/>
      <c r="K494" s="70"/>
      <c r="L494" s="70"/>
      <c r="M494" s="70"/>
      <c r="N494" s="70"/>
      <c r="O494" s="70"/>
      <c r="P494" s="70"/>
      <c r="Q494" s="70"/>
      <c r="R494" s="70"/>
      <c r="S494" s="70"/>
      <c r="T494" s="70"/>
      <c r="U494" s="70"/>
      <c r="V494" s="70"/>
      <c r="W494" s="70"/>
    </row>
    <row r="495" ht="14.25" customHeight="1">
      <c r="A495" s="70"/>
      <c r="B495" s="70"/>
      <c r="C495" s="70"/>
      <c r="D495" s="70"/>
      <c r="E495" s="5"/>
      <c r="F495" s="70"/>
      <c r="G495" s="70"/>
      <c r="H495" s="70"/>
      <c r="I495" s="70"/>
      <c r="J495" s="70"/>
      <c r="K495" s="70"/>
      <c r="L495" s="70"/>
      <c r="M495" s="70"/>
      <c r="N495" s="70"/>
      <c r="O495" s="70"/>
      <c r="P495" s="70"/>
      <c r="Q495" s="70"/>
      <c r="R495" s="70"/>
      <c r="S495" s="70"/>
      <c r="T495" s="70"/>
      <c r="U495" s="70"/>
      <c r="V495" s="70"/>
      <c r="W495" s="70"/>
    </row>
    <row r="496" ht="14.25" customHeight="1">
      <c r="A496" s="70"/>
      <c r="B496" s="70"/>
      <c r="C496" s="70"/>
      <c r="D496" s="70"/>
      <c r="E496" s="5"/>
      <c r="F496" s="70"/>
      <c r="G496" s="70"/>
      <c r="H496" s="70"/>
      <c r="I496" s="70"/>
      <c r="J496" s="70"/>
      <c r="K496" s="70"/>
      <c r="L496" s="70"/>
      <c r="M496" s="70"/>
      <c r="N496" s="70"/>
      <c r="O496" s="70"/>
      <c r="P496" s="70"/>
      <c r="Q496" s="70"/>
      <c r="R496" s="70"/>
      <c r="S496" s="70"/>
      <c r="T496" s="70"/>
      <c r="U496" s="70"/>
      <c r="V496" s="70"/>
      <c r="W496" s="70"/>
    </row>
    <row r="497" ht="14.25" customHeight="1">
      <c r="A497" s="70"/>
      <c r="B497" s="70"/>
      <c r="C497" s="70"/>
      <c r="D497" s="70"/>
      <c r="E497" s="5"/>
      <c r="F497" s="70"/>
      <c r="G497" s="70"/>
      <c r="H497" s="70"/>
      <c r="I497" s="70"/>
      <c r="J497" s="70"/>
      <c r="K497" s="70"/>
      <c r="L497" s="70"/>
      <c r="M497" s="70"/>
      <c r="N497" s="70"/>
      <c r="O497" s="70"/>
      <c r="P497" s="70"/>
      <c r="Q497" s="70"/>
      <c r="R497" s="70"/>
      <c r="S497" s="70"/>
      <c r="T497" s="70"/>
      <c r="U497" s="70"/>
      <c r="V497" s="70"/>
      <c r="W497" s="70"/>
    </row>
    <row r="498" ht="14.25" customHeight="1">
      <c r="A498" s="70"/>
      <c r="B498" s="70"/>
      <c r="C498" s="70"/>
      <c r="D498" s="70"/>
      <c r="E498" s="5"/>
      <c r="F498" s="70"/>
      <c r="G498" s="70"/>
      <c r="H498" s="70"/>
      <c r="I498" s="70"/>
      <c r="J498" s="70"/>
      <c r="K498" s="70"/>
      <c r="L498" s="70"/>
      <c r="M498" s="70"/>
      <c r="N498" s="70"/>
      <c r="O498" s="70"/>
      <c r="P498" s="70"/>
      <c r="Q498" s="70"/>
      <c r="R498" s="70"/>
      <c r="S498" s="70"/>
      <c r="T498" s="70"/>
      <c r="U498" s="70"/>
      <c r="V498" s="70"/>
      <c r="W498" s="70"/>
    </row>
    <row r="499" ht="14.25" customHeight="1">
      <c r="A499" s="70"/>
      <c r="B499" s="70"/>
      <c r="C499" s="70"/>
      <c r="D499" s="70"/>
      <c r="E499" s="5"/>
      <c r="F499" s="70"/>
      <c r="G499" s="70"/>
      <c r="H499" s="70"/>
      <c r="I499" s="70"/>
      <c r="J499" s="70"/>
      <c r="K499" s="70"/>
      <c r="L499" s="70"/>
      <c r="M499" s="70"/>
      <c r="N499" s="70"/>
      <c r="O499" s="70"/>
      <c r="P499" s="70"/>
      <c r="Q499" s="70"/>
      <c r="R499" s="70"/>
      <c r="S499" s="70"/>
      <c r="T499" s="70"/>
      <c r="U499" s="70"/>
      <c r="V499" s="70"/>
      <c r="W499" s="70"/>
    </row>
    <row r="500" ht="14.25" customHeight="1">
      <c r="A500" s="70"/>
      <c r="B500" s="70"/>
      <c r="C500" s="70"/>
      <c r="D500" s="70"/>
      <c r="E500" s="5"/>
      <c r="F500" s="70"/>
      <c r="G500" s="70"/>
      <c r="H500" s="70"/>
      <c r="I500" s="70"/>
      <c r="J500" s="70"/>
      <c r="K500" s="70"/>
      <c r="L500" s="70"/>
      <c r="M500" s="70"/>
      <c r="N500" s="70"/>
      <c r="O500" s="70"/>
      <c r="P500" s="70"/>
      <c r="Q500" s="70"/>
      <c r="R500" s="70"/>
      <c r="S500" s="70"/>
      <c r="T500" s="70"/>
      <c r="U500" s="70"/>
      <c r="V500" s="70"/>
      <c r="W500" s="70"/>
    </row>
    <row r="501" ht="14.25" customHeight="1">
      <c r="A501" s="70"/>
      <c r="B501" s="70"/>
      <c r="C501" s="70"/>
      <c r="D501" s="70"/>
      <c r="E501" s="5"/>
      <c r="F501" s="70"/>
      <c r="G501" s="70"/>
      <c r="H501" s="70"/>
      <c r="I501" s="70"/>
      <c r="J501" s="70"/>
      <c r="K501" s="70"/>
      <c r="L501" s="70"/>
      <c r="M501" s="70"/>
      <c r="N501" s="70"/>
      <c r="O501" s="70"/>
      <c r="P501" s="70"/>
      <c r="Q501" s="70"/>
      <c r="R501" s="70"/>
      <c r="S501" s="70"/>
      <c r="T501" s="70"/>
      <c r="U501" s="70"/>
      <c r="V501" s="70"/>
      <c r="W501" s="70"/>
    </row>
    <row r="502" ht="14.25" customHeight="1">
      <c r="A502" s="70"/>
      <c r="B502" s="70"/>
      <c r="C502" s="70"/>
      <c r="D502" s="70"/>
      <c r="E502" s="5"/>
      <c r="F502" s="70"/>
      <c r="G502" s="70"/>
      <c r="H502" s="70"/>
      <c r="I502" s="70"/>
      <c r="J502" s="70"/>
      <c r="K502" s="70"/>
      <c r="L502" s="70"/>
      <c r="M502" s="70"/>
      <c r="N502" s="70"/>
      <c r="O502" s="70"/>
      <c r="P502" s="70"/>
      <c r="Q502" s="70"/>
      <c r="R502" s="70"/>
      <c r="S502" s="70"/>
      <c r="T502" s="70"/>
      <c r="U502" s="70"/>
      <c r="V502" s="70"/>
      <c r="W502" s="70"/>
    </row>
    <row r="503" ht="14.25" customHeight="1">
      <c r="A503" s="70"/>
      <c r="B503" s="70"/>
      <c r="C503" s="70"/>
      <c r="D503" s="70"/>
      <c r="E503" s="5"/>
      <c r="F503" s="70"/>
      <c r="G503" s="70"/>
      <c r="H503" s="70"/>
      <c r="I503" s="70"/>
      <c r="J503" s="70"/>
      <c r="K503" s="70"/>
      <c r="L503" s="70"/>
      <c r="M503" s="70"/>
      <c r="N503" s="70"/>
      <c r="O503" s="70"/>
      <c r="P503" s="70"/>
      <c r="Q503" s="70"/>
      <c r="R503" s="70"/>
      <c r="S503" s="70"/>
      <c r="T503" s="70"/>
      <c r="U503" s="70"/>
      <c r="V503" s="70"/>
      <c r="W503" s="70"/>
    </row>
    <row r="504" ht="14.25" customHeight="1">
      <c r="A504" s="70"/>
      <c r="B504" s="70"/>
      <c r="C504" s="70"/>
      <c r="D504" s="70"/>
      <c r="E504" s="5"/>
      <c r="F504" s="70"/>
      <c r="G504" s="70"/>
      <c r="H504" s="70"/>
      <c r="I504" s="70"/>
      <c r="J504" s="70"/>
      <c r="K504" s="70"/>
      <c r="L504" s="70"/>
      <c r="M504" s="70"/>
      <c r="N504" s="70"/>
      <c r="O504" s="70"/>
      <c r="P504" s="70"/>
      <c r="Q504" s="70"/>
      <c r="R504" s="70"/>
      <c r="S504" s="70"/>
      <c r="T504" s="70"/>
      <c r="U504" s="70"/>
      <c r="V504" s="70"/>
      <c r="W504" s="70"/>
    </row>
    <row r="505" ht="14.25" customHeight="1">
      <c r="A505" s="70"/>
      <c r="B505" s="70"/>
      <c r="C505" s="70"/>
      <c r="D505" s="70"/>
      <c r="E505" s="5"/>
      <c r="F505" s="70"/>
      <c r="G505" s="70"/>
      <c r="H505" s="70"/>
      <c r="I505" s="70"/>
      <c r="J505" s="70"/>
      <c r="K505" s="70"/>
      <c r="L505" s="70"/>
      <c r="M505" s="70"/>
      <c r="N505" s="70"/>
      <c r="O505" s="70"/>
      <c r="P505" s="70"/>
      <c r="Q505" s="70"/>
      <c r="R505" s="70"/>
      <c r="S505" s="70"/>
      <c r="T505" s="70"/>
      <c r="U505" s="70"/>
      <c r="V505" s="70"/>
      <c r="W505" s="70"/>
    </row>
    <row r="506" ht="14.25" customHeight="1">
      <c r="A506" s="70"/>
      <c r="B506" s="70"/>
      <c r="C506" s="70"/>
      <c r="D506" s="70"/>
      <c r="E506" s="5"/>
      <c r="F506" s="70"/>
      <c r="G506" s="70"/>
      <c r="H506" s="70"/>
      <c r="I506" s="70"/>
      <c r="J506" s="70"/>
      <c r="K506" s="70"/>
      <c r="L506" s="70"/>
      <c r="M506" s="70"/>
      <c r="N506" s="70"/>
      <c r="O506" s="70"/>
      <c r="P506" s="70"/>
      <c r="Q506" s="70"/>
      <c r="R506" s="70"/>
      <c r="S506" s="70"/>
      <c r="T506" s="70"/>
      <c r="U506" s="70"/>
      <c r="V506" s="70"/>
      <c r="W506" s="70"/>
    </row>
    <row r="507" ht="14.25" customHeight="1">
      <c r="A507" s="70"/>
      <c r="B507" s="70"/>
      <c r="C507" s="70"/>
      <c r="D507" s="70"/>
      <c r="E507" s="5"/>
      <c r="F507" s="70"/>
      <c r="G507" s="70"/>
      <c r="H507" s="70"/>
      <c r="I507" s="70"/>
      <c r="J507" s="70"/>
      <c r="K507" s="70"/>
      <c r="L507" s="70"/>
      <c r="M507" s="70"/>
      <c r="N507" s="70"/>
      <c r="O507" s="70"/>
      <c r="P507" s="70"/>
      <c r="Q507" s="70"/>
      <c r="R507" s="70"/>
      <c r="S507" s="70"/>
      <c r="T507" s="70"/>
      <c r="U507" s="70"/>
      <c r="V507" s="70"/>
      <c r="W507" s="70"/>
    </row>
    <row r="508" ht="14.25" customHeight="1">
      <c r="A508" s="70"/>
      <c r="B508" s="70"/>
      <c r="C508" s="70"/>
      <c r="D508" s="70"/>
      <c r="E508" s="5"/>
      <c r="F508" s="70"/>
      <c r="G508" s="70"/>
      <c r="H508" s="70"/>
      <c r="I508" s="70"/>
      <c r="J508" s="70"/>
      <c r="K508" s="70"/>
      <c r="L508" s="70"/>
      <c r="M508" s="70"/>
      <c r="N508" s="70"/>
      <c r="O508" s="70"/>
      <c r="P508" s="70"/>
      <c r="Q508" s="70"/>
      <c r="R508" s="70"/>
      <c r="S508" s="70"/>
      <c r="T508" s="70"/>
      <c r="U508" s="70"/>
      <c r="V508" s="70"/>
      <c r="W508" s="70"/>
    </row>
    <row r="509" ht="14.25" customHeight="1">
      <c r="A509" s="70"/>
      <c r="B509" s="70"/>
      <c r="C509" s="70"/>
      <c r="D509" s="70"/>
      <c r="E509" s="5"/>
      <c r="F509" s="70"/>
      <c r="G509" s="70"/>
      <c r="H509" s="70"/>
      <c r="I509" s="70"/>
      <c r="J509" s="70"/>
      <c r="K509" s="70"/>
      <c r="L509" s="70"/>
      <c r="M509" s="70"/>
      <c r="N509" s="70"/>
      <c r="O509" s="70"/>
      <c r="P509" s="70"/>
      <c r="Q509" s="70"/>
      <c r="R509" s="70"/>
      <c r="S509" s="70"/>
      <c r="T509" s="70"/>
      <c r="U509" s="70"/>
      <c r="V509" s="70"/>
      <c r="W509" s="70"/>
    </row>
    <row r="510" ht="14.25" customHeight="1">
      <c r="A510" s="70"/>
      <c r="B510" s="70"/>
      <c r="C510" s="70"/>
      <c r="D510" s="70"/>
      <c r="E510" s="5"/>
      <c r="F510" s="70"/>
      <c r="G510" s="70"/>
      <c r="H510" s="70"/>
      <c r="I510" s="70"/>
      <c r="J510" s="70"/>
      <c r="K510" s="70"/>
      <c r="L510" s="70"/>
      <c r="M510" s="70"/>
      <c r="N510" s="70"/>
      <c r="O510" s="70"/>
      <c r="P510" s="70"/>
      <c r="Q510" s="70"/>
      <c r="R510" s="70"/>
      <c r="S510" s="70"/>
      <c r="T510" s="70"/>
      <c r="U510" s="70"/>
      <c r="V510" s="70"/>
      <c r="W510" s="70"/>
    </row>
    <row r="511" ht="14.25" customHeight="1">
      <c r="A511" s="70"/>
      <c r="B511" s="70"/>
      <c r="C511" s="70"/>
      <c r="D511" s="70"/>
      <c r="E511" s="5"/>
      <c r="F511" s="70"/>
      <c r="G511" s="70"/>
      <c r="H511" s="70"/>
      <c r="I511" s="70"/>
      <c r="J511" s="70"/>
      <c r="K511" s="70"/>
      <c r="L511" s="70"/>
      <c r="M511" s="70"/>
      <c r="N511" s="70"/>
      <c r="O511" s="70"/>
      <c r="P511" s="70"/>
      <c r="Q511" s="70"/>
      <c r="R511" s="70"/>
      <c r="S511" s="70"/>
      <c r="T511" s="70"/>
      <c r="U511" s="70"/>
      <c r="V511" s="70"/>
      <c r="W511" s="70"/>
    </row>
    <row r="512" ht="14.25" customHeight="1">
      <c r="A512" s="70"/>
      <c r="B512" s="70"/>
      <c r="C512" s="70"/>
      <c r="D512" s="70"/>
      <c r="E512" s="5"/>
      <c r="F512" s="70"/>
      <c r="G512" s="70"/>
      <c r="H512" s="70"/>
      <c r="I512" s="70"/>
      <c r="J512" s="70"/>
      <c r="K512" s="70"/>
      <c r="L512" s="70"/>
      <c r="M512" s="70"/>
      <c r="N512" s="70"/>
      <c r="O512" s="70"/>
      <c r="P512" s="70"/>
      <c r="Q512" s="70"/>
      <c r="R512" s="70"/>
      <c r="S512" s="70"/>
      <c r="T512" s="70"/>
      <c r="U512" s="70"/>
      <c r="V512" s="70"/>
      <c r="W512" s="70"/>
    </row>
    <row r="513" ht="14.25" customHeight="1">
      <c r="A513" s="70"/>
      <c r="B513" s="70"/>
      <c r="C513" s="70"/>
      <c r="D513" s="70"/>
      <c r="E513" s="5"/>
      <c r="F513" s="70"/>
      <c r="G513" s="70"/>
      <c r="H513" s="70"/>
      <c r="I513" s="70"/>
      <c r="J513" s="70"/>
      <c r="K513" s="70"/>
      <c r="L513" s="70"/>
      <c r="M513" s="70"/>
      <c r="N513" s="70"/>
      <c r="O513" s="70"/>
      <c r="P513" s="70"/>
      <c r="Q513" s="70"/>
      <c r="R513" s="70"/>
      <c r="S513" s="70"/>
      <c r="T513" s="70"/>
      <c r="U513" s="70"/>
      <c r="V513" s="70"/>
      <c r="W513" s="70"/>
    </row>
    <row r="514" ht="14.25" customHeight="1">
      <c r="A514" s="70"/>
      <c r="B514" s="70"/>
      <c r="C514" s="70"/>
      <c r="D514" s="70"/>
      <c r="E514" s="5"/>
      <c r="F514" s="70"/>
      <c r="G514" s="70"/>
      <c r="H514" s="70"/>
      <c r="I514" s="70"/>
      <c r="J514" s="70"/>
      <c r="K514" s="70"/>
      <c r="L514" s="70"/>
      <c r="M514" s="70"/>
      <c r="N514" s="70"/>
      <c r="O514" s="70"/>
      <c r="P514" s="70"/>
      <c r="Q514" s="70"/>
      <c r="R514" s="70"/>
      <c r="S514" s="70"/>
      <c r="T514" s="70"/>
      <c r="U514" s="70"/>
      <c r="V514" s="70"/>
      <c r="W514" s="70"/>
    </row>
    <row r="515" ht="14.25" customHeight="1">
      <c r="A515" s="70"/>
      <c r="B515" s="70"/>
      <c r="C515" s="70"/>
      <c r="D515" s="70"/>
      <c r="E515" s="5"/>
      <c r="F515" s="70"/>
      <c r="G515" s="70"/>
      <c r="H515" s="70"/>
      <c r="I515" s="70"/>
      <c r="J515" s="70"/>
      <c r="K515" s="70"/>
      <c r="L515" s="70"/>
      <c r="M515" s="70"/>
      <c r="N515" s="70"/>
      <c r="O515" s="70"/>
      <c r="P515" s="70"/>
      <c r="Q515" s="70"/>
      <c r="R515" s="70"/>
      <c r="S515" s="70"/>
      <c r="T515" s="70"/>
      <c r="U515" s="70"/>
      <c r="V515" s="70"/>
      <c r="W515" s="70"/>
    </row>
    <row r="516" ht="14.25" customHeight="1">
      <c r="A516" s="70"/>
      <c r="B516" s="70"/>
      <c r="C516" s="70"/>
      <c r="D516" s="70"/>
      <c r="E516" s="5"/>
      <c r="F516" s="70"/>
      <c r="G516" s="70"/>
      <c r="H516" s="70"/>
      <c r="I516" s="70"/>
      <c r="J516" s="70"/>
      <c r="K516" s="70"/>
      <c r="L516" s="70"/>
      <c r="M516" s="70"/>
      <c r="N516" s="70"/>
      <c r="O516" s="70"/>
      <c r="P516" s="70"/>
      <c r="Q516" s="70"/>
      <c r="R516" s="70"/>
      <c r="S516" s="70"/>
      <c r="T516" s="70"/>
      <c r="U516" s="70"/>
      <c r="V516" s="70"/>
      <c r="W516" s="70"/>
    </row>
    <row r="517" ht="14.25" customHeight="1">
      <c r="A517" s="70"/>
      <c r="B517" s="70"/>
      <c r="C517" s="70"/>
      <c r="D517" s="70"/>
      <c r="E517" s="5"/>
      <c r="F517" s="70"/>
      <c r="G517" s="70"/>
      <c r="H517" s="70"/>
      <c r="I517" s="70"/>
      <c r="J517" s="70"/>
      <c r="K517" s="70"/>
      <c r="L517" s="70"/>
      <c r="M517" s="70"/>
      <c r="N517" s="70"/>
      <c r="O517" s="70"/>
      <c r="P517" s="70"/>
      <c r="Q517" s="70"/>
      <c r="R517" s="70"/>
      <c r="S517" s="70"/>
      <c r="T517" s="70"/>
      <c r="U517" s="70"/>
      <c r="V517" s="70"/>
      <c r="W517" s="70"/>
    </row>
    <row r="518" ht="14.25" customHeight="1">
      <c r="A518" s="70"/>
      <c r="B518" s="70"/>
      <c r="C518" s="70"/>
      <c r="D518" s="70"/>
      <c r="E518" s="5"/>
      <c r="F518" s="70"/>
      <c r="G518" s="70"/>
      <c r="H518" s="70"/>
      <c r="I518" s="70"/>
      <c r="J518" s="70"/>
      <c r="K518" s="70"/>
      <c r="L518" s="70"/>
      <c r="M518" s="70"/>
      <c r="N518" s="70"/>
      <c r="O518" s="70"/>
      <c r="P518" s="70"/>
      <c r="Q518" s="70"/>
      <c r="R518" s="70"/>
      <c r="S518" s="70"/>
      <c r="T518" s="70"/>
      <c r="U518" s="70"/>
      <c r="V518" s="70"/>
      <c r="W518" s="70"/>
    </row>
    <row r="519" ht="14.25" customHeight="1">
      <c r="A519" s="70"/>
      <c r="B519" s="70"/>
      <c r="C519" s="70"/>
      <c r="D519" s="70"/>
      <c r="E519" s="5"/>
      <c r="F519" s="70"/>
      <c r="G519" s="70"/>
      <c r="H519" s="70"/>
      <c r="I519" s="70"/>
      <c r="J519" s="70"/>
      <c r="K519" s="70"/>
      <c r="L519" s="70"/>
      <c r="M519" s="70"/>
      <c r="N519" s="70"/>
      <c r="O519" s="70"/>
      <c r="P519" s="70"/>
      <c r="Q519" s="70"/>
      <c r="R519" s="70"/>
      <c r="S519" s="70"/>
      <c r="T519" s="70"/>
      <c r="U519" s="70"/>
      <c r="V519" s="70"/>
      <c r="W519" s="70"/>
    </row>
    <row r="520" ht="14.25" customHeight="1">
      <c r="A520" s="70"/>
      <c r="B520" s="70"/>
      <c r="C520" s="70"/>
      <c r="D520" s="70"/>
      <c r="E520" s="5"/>
      <c r="F520" s="70"/>
      <c r="G520" s="70"/>
      <c r="H520" s="70"/>
      <c r="I520" s="70"/>
      <c r="J520" s="70"/>
      <c r="K520" s="70"/>
      <c r="L520" s="70"/>
      <c r="M520" s="70"/>
      <c r="N520" s="70"/>
      <c r="O520" s="70"/>
      <c r="P520" s="70"/>
      <c r="Q520" s="70"/>
      <c r="R520" s="70"/>
      <c r="S520" s="70"/>
      <c r="T520" s="70"/>
      <c r="U520" s="70"/>
      <c r="V520" s="70"/>
      <c r="W520" s="70"/>
    </row>
    <row r="521" ht="14.25" customHeight="1">
      <c r="A521" s="70"/>
      <c r="B521" s="70"/>
      <c r="C521" s="70"/>
      <c r="D521" s="70"/>
      <c r="E521" s="5"/>
      <c r="F521" s="70"/>
      <c r="G521" s="70"/>
      <c r="H521" s="70"/>
      <c r="I521" s="70"/>
      <c r="J521" s="70"/>
      <c r="K521" s="70"/>
      <c r="L521" s="70"/>
      <c r="M521" s="70"/>
      <c r="N521" s="70"/>
      <c r="O521" s="70"/>
      <c r="P521" s="70"/>
      <c r="Q521" s="70"/>
      <c r="R521" s="70"/>
      <c r="S521" s="70"/>
      <c r="T521" s="70"/>
      <c r="U521" s="70"/>
      <c r="V521" s="70"/>
      <c r="W521" s="70"/>
    </row>
    <row r="522" ht="14.25" customHeight="1">
      <c r="A522" s="70"/>
      <c r="B522" s="70"/>
      <c r="C522" s="70"/>
      <c r="D522" s="70"/>
      <c r="E522" s="5"/>
      <c r="F522" s="70"/>
      <c r="G522" s="70"/>
      <c r="H522" s="70"/>
      <c r="I522" s="70"/>
      <c r="J522" s="70"/>
      <c r="K522" s="70"/>
      <c r="L522" s="70"/>
      <c r="M522" s="70"/>
      <c r="N522" s="70"/>
      <c r="O522" s="70"/>
      <c r="P522" s="70"/>
      <c r="Q522" s="70"/>
      <c r="R522" s="70"/>
      <c r="S522" s="70"/>
      <c r="T522" s="70"/>
      <c r="U522" s="70"/>
      <c r="V522" s="70"/>
      <c r="W522" s="70"/>
    </row>
    <row r="523" ht="14.25" customHeight="1">
      <c r="A523" s="70"/>
      <c r="B523" s="70"/>
      <c r="C523" s="70"/>
      <c r="D523" s="70"/>
      <c r="E523" s="5"/>
      <c r="F523" s="70"/>
      <c r="G523" s="70"/>
      <c r="H523" s="70"/>
      <c r="I523" s="70"/>
      <c r="J523" s="70"/>
      <c r="K523" s="70"/>
      <c r="L523" s="70"/>
      <c r="M523" s="70"/>
      <c r="N523" s="70"/>
      <c r="O523" s="70"/>
      <c r="P523" s="70"/>
      <c r="Q523" s="70"/>
      <c r="R523" s="70"/>
      <c r="S523" s="70"/>
      <c r="T523" s="70"/>
      <c r="U523" s="70"/>
      <c r="V523" s="70"/>
      <c r="W523" s="70"/>
    </row>
    <row r="524" ht="14.25" customHeight="1">
      <c r="A524" s="70"/>
      <c r="B524" s="70"/>
      <c r="C524" s="70"/>
      <c r="D524" s="70"/>
      <c r="E524" s="5"/>
      <c r="F524" s="70"/>
      <c r="G524" s="70"/>
      <c r="H524" s="70"/>
      <c r="I524" s="70"/>
      <c r="J524" s="70"/>
      <c r="K524" s="70"/>
      <c r="L524" s="70"/>
      <c r="M524" s="70"/>
      <c r="N524" s="70"/>
      <c r="O524" s="70"/>
      <c r="P524" s="70"/>
      <c r="Q524" s="70"/>
      <c r="R524" s="70"/>
      <c r="S524" s="70"/>
      <c r="T524" s="70"/>
      <c r="U524" s="70"/>
      <c r="V524" s="70"/>
      <c r="W524" s="70"/>
    </row>
    <row r="525" ht="14.25" customHeight="1">
      <c r="A525" s="70"/>
      <c r="B525" s="70"/>
      <c r="C525" s="70"/>
      <c r="D525" s="70"/>
      <c r="E525" s="5"/>
      <c r="F525" s="70"/>
      <c r="G525" s="70"/>
      <c r="H525" s="70"/>
      <c r="I525" s="70"/>
      <c r="J525" s="70"/>
      <c r="K525" s="70"/>
      <c r="L525" s="70"/>
      <c r="M525" s="70"/>
      <c r="N525" s="70"/>
      <c r="O525" s="70"/>
      <c r="P525" s="70"/>
      <c r="Q525" s="70"/>
      <c r="R525" s="70"/>
      <c r="S525" s="70"/>
      <c r="T525" s="70"/>
      <c r="U525" s="70"/>
      <c r="V525" s="70"/>
      <c r="W525" s="70"/>
    </row>
    <row r="526" ht="14.25" customHeight="1">
      <c r="A526" s="70"/>
      <c r="B526" s="70"/>
      <c r="C526" s="70"/>
      <c r="D526" s="70"/>
      <c r="E526" s="5"/>
      <c r="F526" s="70"/>
      <c r="G526" s="70"/>
      <c r="H526" s="70"/>
      <c r="I526" s="70"/>
      <c r="J526" s="70"/>
      <c r="K526" s="70"/>
      <c r="L526" s="70"/>
      <c r="M526" s="70"/>
      <c r="N526" s="70"/>
      <c r="O526" s="70"/>
      <c r="P526" s="70"/>
      <c r="Q526" s="70"/>
      <c r="R526" s="70"/>
      <c r="S526" s="70"/>
      <c r="T526" s="70"/>
      <c r="U526" s="70"/>
      <c r="V526" s="70"/>
      <c r="W526" s="70"/>
    </row>
    <row r="527" ht="14.25" customHeight="1">
      <c r="A527" s="70"/>
      <c r="B527" s="70"/>
      <c r="C527" s="70"/>
      <c r="D527" s="70"/>
      <c r="E527" s="5"/>
      <c r="F527" s="70"/>
      <c r="G527" s="70"/>
      <c r="H527" s="70"/>
      <c r="I527" s="70"/>
      <c r="J527" s="70"/>
      <c r="K527" s="70"/>
      <c r="L527" s="70"/>
      <c r="M527" s="70"/>
      <c r="N527" s="70"/>
      <c r="O527" s="70"/>
      <c r="P527" s="70"/>
      <c r="Q527" s="70"/>
      <c r="R527" s="70"/>
      <c r="S527" s="70"/>
      <c r="T527" s="70"/>
      <c r="U527" s="70"/>
      <c r="V527" s="70"/>
      <c r="W527" s="70"/>
    </row>
    <row r="528" ht="14.25" customHeight="1">
      <c r="A528" s="70"/>
      <c r="B528" s="70"/>
      <c r="C528" s="70"/>
      <c r="D528" s="70"/>
      <c r="E528" s="5"/>
      <c r="F528" s="70"/>
      <c r="G528" s="70"/>
      <c r="H528" s="70"/>
      <c r="I528" s="70"/>
      <c r="J528" s="70"/>
      <c r="K528" s="70"/>
      <c r="L528" s="70"/>
      <c r="M528" s="70"/>
      <c r="N528" s="70"/>
      <c r="O528" s="70"/>
      <c r="P528" s="70"/>
      <c r="Q528" s="70"/>
      <c r="R528" s="70"/>
      <c r="S528" s="70"/>
      <c r="T528" s="70"/>
      <c r="U528" s="70"/>
      <c r="V528" s="70"/>
      <c r="W528" s="70"/>
    </row>
    <row r="529" ht="14.25" customHeight="1">
      <c r="A529" s="70"/>
      <c r="B529" s="70"/>
      <c r="C529" s="70"/>
      <c r="D529" s="70"/>
      <c r="E529" s="5"/>
      <c r="F529" s="70"/>
      <c r="G529" s="70"/>
      <c r="H529" s="70"/>
      <c r="I529" s="70"/>
      <c r="J529" s="70"/>
      <c r="K529" s="70"/>
      <c r="L529" s="70"/>
      <c r="M529" s="70"/>
      <c r="N529" s="70"/>
      <c r="O529" s="70"/>
      <c r="P529" s="70"/>
      <c r="Q529" s="70"/>
      <c r="R529" s="70"/>
      <c r="S529" s="70"/>
      <c r="T529" s="70"/>
      <c r="U529" s="70"/>
      <c r="V529" s="70"/>
      <c r="W529" s="70"/>
    </row>
    <row r="530" ht="14.25" customHeight="1">
      <c r="A530" s="70"/>
      <c r="B530" s="70"/>
      <c r="C530" s="70"/>
      <c r="D530" s="70"/>
      <c r="E530" s="5"/>
      <c r="F530" s="70"/>
      <c r="G530" s="70"/>
      <c r="H530" s="70"/>
      <c r="I530" s="70"/>
      <c r="J530" s="70"/>
      <c r="K530" s="70"/>
      <c r="L530" s="70"/>
      <c r="M530" s="70"/>
      <c r="N530" s="70"/>
      <c r="O530" s="70"/>
      <c r="P530" s="70"/>
      <c r="Q530" s="70"/>
      <c r="R530" s="70"/>
      <c r="S530" s="70"/>
      <c r="T530" s="70"/>
      <c r="U530" s="70"/>
      <c r="V530" s="70"/>
      <c r="W530" s="70"/>
    </row>
    <row r="531" ht="14.25" customHeight="1">
      <c r="A531" s="70"/>
      <c r="B531" s="70"/>
      <c r="C531" s="70"/>
      <c r="D531" s="70"/>
      <c r="E531" s="5"/>
      <c r="F531" s="70"/>
      <c r="G531" s="70"/>
      <c r="H531" s="70"/>
      <c r="I531" s="70"/>
      <c r="J531" s="70"/>
      <c r="K531" s="70"/>
      <c r="L531" s="70"/>
      <c r="M531" s="70"/>
      <c r="N531" s="70"/>
      <c r="O531" s="70"/>
      <c r="P531" s="70"/>
      <c r="Q531" s="70"/>
      <c r="R531" s="70"/>
      <c r="S531" s="70"/>
      <c r="T531" s="70"/>
      <c r="U531" s="70"/>
      <c r="V531" s="70"/>
      <c r="W531" s="70"/>
    </row>
    <row r="532" ht="14.25" customHeight="1">
      <c r="A532" s="70"/>
      <c r="B532" s="70"/>
      <c r="C532" s="70"/>
      <c r="D532" s="70"/>
      <c r="E532" s="5"/>
      <c r="F532" s="70"/>
      <c r="G532" s="70"/>
      <c r="H532" s="70"/>
      <c r="I532" s="70"/>
      <c r="J532" s="70"/>
      <c r="K532" s="70"/>
      <c r="L532" s="70"/>
      <c r="M532" s="70"/>
      <c r="N532" s="70"/>
      <c r="O532" s="70"/>
      <c r="P532" s="70"/>
      <c r="Q532" s="70"/>
      <c r="R532" s="70"/>
      <c r="S532" s="70"/>
      <c r="T532" s="70"/>
      <c r="U532" s="70"/>
      <c r="V532" s="70"/>
      <c r="W532" s="70"/>
    </row>
    <row r="533" ht="14.25" customHeight="1">
      <c r="A533" s="70"/>
      <c r="B533" s="70"/>
      <c r="C533" s="70"/>
      <c r="D533" s="70"/>
      <c r="E533" s="5"/>
      <c r="F533" s="70"/>
      <c r="G533" s="70"/>
      <c r="H533" s="70"/>
      <c r="I533" s="70"/>
      <c r="J533" s="70"/>
      <c r="K533" s="70"/>
      <c r="L533" s="70"/>
      <c r="M533" s="70"/>
      <c r="N533" s="70"/>
      <c r="O533" s="70"/>
      <c r="P533" s="70"/>
      <c r="Q533" s="70"/>
      <c r="R533" s="70"/>
      <c r="S533" s="70"/>
      <c r="T533" s="70"/>
      <c r="U533" s="70"/>
      <c r="V533" s="70"/>
      <c r="W533" s="70"/>
    </row>
    <row r="534" ht="14.25" customHeight="1">
      <c r="A534" s="70"/>
      <c r="B534" s="70"/>
      <c r="C534" s="70"/>
      <c r="D534" s="70"/>
      <c r="E534" s="5"/>
      <c r="F534" s="70"/>
      <c r="G534" s="70"/>
      <c r="H534" s="70"/>
      <c r="I534" s="70"/>
      <c r="J534" s="70"/>
      <c r="K534" s="70"/>
      <c r="L534" s="70"/>
      <c r="M534" s="70"/>
      <c r="N534" s="70"/>
      <c r="O534" s="70"/>
      <c r="P534" s="70"/>
      <c r="Q534" s="70"/>
      <c r="R534" s="70"/>
      <c r="S534" s="70"/>
      <c r="T534" s="70"/>
      <c r="U534" s="70"/>
      <c r="V534" s="70"/>
      <c r="W534" s="70"/>
    </row>
    <row r="535" ht="14.25" customHeight="1">
      <c r="A535" s="70"/>
      <c r="B535" s="70"/>
      <c r="C535" s="70"/>
      <c r="D535" s="70"/>
      <c r="E535" s="5"/>
      <c r="F535" s="70"/>
      <c r="G535" s="70"/>
      <c r="H535" s="70"/>
      <c r="I535" s="70"/>
      <c r="J535" s="70"/>
      <c r="K535" s="70"/>
      <c r="L535" s="70"/>
      <c r="M535" s="70"/>
      <c r="N535" s="70"/>
      <c r="O535" s="70"/>
      <c r="P535" s="70"/>
      <c r="Q535" s="70"/>
      <c r="R535" s="70"/>
      <c r="S535" s="70"/>
      <c r="T535" s="70"/>
      <c r="U535" s="70"/>
      <c r="V535" s="70"/>
      <c r="W535" s="70"/>
    </row>
    <row r="536" ht="14.25" customHeight="1">
      <c r="A536" s="70"/>
      <c r="B536" s="70"/>
      <c r="C536" s="70"/>
      <c r="D536" s="70"/>
      <c r="E536" s="5"/>
      <c r="F536" s="70"/>
      <c r="G536" s="70"/>
      <c r="H536" s="70"/>
      <c r="I536" s="70"/>
      <c r="J536" s="70"/>
      <c r="K536" s="70"/>
      <c r="L536" s="70"/>
      <c r="M536" s="70"/>
      <c r="N536" s="70"/>
      <c r="O536" s="70"/>
      <c r="P536" s="70"/>
      <c r="Q536" s="70"/>
      <c r="R536" s="70"/>
      <c r="S536" s="70"/>
      <c r="T536" s="70"/>
      <c r="U536" s="70"/>
      <c r="V536" s="70"/>
      <c r="W536" s="70"/>
    </row>
    <row r="537" ht="14.25" customHeight="1">
      <c r="A537" s="70"/>
      <c r="B537" s="70"/>
      <c r="C537" s="70"/>
      <c r="D537" s="70"/>
      <c r="E537" s="5"/>
      <c r="F537" s="70"/>
      <c r="G537" s="70"/>
      <c r="H537" s="70"/>
      <c r="I537" s="70"/>
      <c r="J537" s="70"/>
      <c r="K537" s="70"/>
      <c r="L537" s="70"/>
      <c r="M537" s="70"/>
      <c r="N537" s="70"/>
      <c r="O537" s="70"/>
      <c r="P537" s="70"/>
      <c r="Q537" s="70"/>
      <c r="R537" s="70"/>
      <c r="S537" s="70"/>
      <c r="T537" s="70"/>
      <c r="U537" s="70"/>
      <c r="V537" s="70"/>
      <c r="W537" s="70"/>
    </row>
    <row r="538" ht="14.25" customHeight="1">
      <c r="A538" s="70"/>
      <c r="B538" s="70"/>
      <c r="C538" s="70"/>
      <c r="D538" s="70"/>
      <c r="E538" s="5"/>
      <c r="F538" s="70"/>
      <c r="G538" s="70"/>
      <c r="H538" s="70"/>
      <c r="I538" s="70"/>
      <c r="J538" s="70"/>
      <c r="K538" s="70"/>
      <c r="L538" s="70"/>
      <c r="M538" s="70"/>
      <c r="N538" s="70"/>
      <c r="O538" s="70"/>
      <c r="P538" s="70"/>
      <c r="Q538" s="70"/>
      <c r="R538" s="70"/>
      <c r="S538" s="70"/>
      <c r="T538" s="70"/>
      <c r="U538" s="70"/>
      <c r="V538" s="70"/>
      <c r="W538" s="70"/>
    </row>
    <row r="539" ht="14.25" customHeight="1">
      <c r="A539" s="70"/>
      <c r="B539" s="70"/>
      <c r="C539" s="70"/>
      <c r="D539" s="70"/>
      <c r="E539" s="5"/>
      <c r="F539" s="70"/>
      <c r="G539" s="70"/>
      <c r="H539" s="70"/>
      <c r="I539" s="70"/>
      <c r="J539" s="70"/>
      <c r="K539" s="70"/>
      <c r="L539" s="70"/>
      <c r="M539" s="70"/>
      <c r="N539" s="70"/>
      <c r="O539" s="70"/>
      <c r="P539" s="70"/>
      <c r="Q539" s="70"/>
      <c r="R539" s="70"/>
      <c r="S539" s="70"/>
      <c r="T539" s="70"/>
      <c r="U539" s="70"/>
      <c r="V539" s="70"/>
      <c r="W539" s="70"/>
    </row>
    <row r="540" ht="14.25" customHeight="1">
      <c r="A540" s="70"/>
      <c r="B540" s="70"/>
      <c r="C540" s="70"/>
      <c r="D540" s="70"/>
      <c r="E540" s="5"/>
      <c r="F540" s="70"/>
      <c r="G540" s="70"/>
      <c r="H540" s="70"/>
      <c r="I540" s="70"/>
      <c r="J540" s="70"/>
      <c r="K540" s="70"/>
      <c r="L540" s="70"/>
      <c r="M540" s="70"/>
      <c r="N540" s="70"/>
      <c r="O540" s="70"/>
      <c r="P540" s="70"/>
      <c r="Q540" s="70"/>
      <c r="R540" s="70"/>
      <c r="S540" s="70"/>
      <c r="T540" s="70"/>
      <c r="U540" s="70"/>
      <c r="V540" s="70"/>
      <c r="W540" s="70"/>
    </row>
    <row r="541" ht="14.25" customHeight="1">
      <c r="A541" s="70"/>
      <c r="B541" s="70"/>
      <c r="C541" s="70"/>
      <c r="D541" s="70"/>
      <c r="E541" s="5"/>
      <c r="F541" s="70"/>
      <c r="G541" s="70"/>
      <c r="H541" s="70"/>
      <c r="I541" s="70"/>
      <c r="J541" s="70"/>
      <c r="K541" s="70"/>
      <c r="L541" s="70"/>
      <c r="M541" s="70"/>
      <c r="N541" s="70"/>
      <c r="O541" s="70"/>
      <c r="P541" s="70"/>
      <c r="Q541" s="70"/>
      <c r="R541" s="70"/>
      <c r="S541" s="70"/>
      <c r="T541" s="70"/>
      <c r="U541" s="70"/>
      <c r="V541" s="70"/>
      <c r="W541" s="70"/>
    </row>
    <row r="542" ht="14.25" customHeight="1">
      <c r="A542" s="70"/>
      <c r="B542" s="70"/>
      <c r="C542" s="70"/>
      <c r="D542" s="70"/>
      <c r="E542" s="5"/>
      <c r="F542" s="70"/>
      <c r="G542" s="70"/>
      <c r="H542" s="70"/>
      <c r="I542" s="70"/>
      <c r="J542" s="70"/>
      <c r="K542" s="70"/>
      <c r="L542" s="70"/>
      <c r="M542" s="70"/>
      <c r="N542" s="70"/>
      <c r="O542" s="70"/>
      <c r="P542" s="70"/>
      <c r="Q542" s="70"/>
      <c r="R542" s="70"/>
      <c r="S542" s="70"/>
      <c r="T542" s="70"/>
      <c r="U542" s="70"/>
      <c r="V542" s="70"/>
      <c r="W542" s="70"/>
    </row>
    <row r="543" ht="14.25" customHeight="1">
      <c r="A543" s="70"/>
      <c r="B543" s="70"/>
      <c r="C543" s="70"/>
      <c r="D543" s="70"/>
      <c r="E543" s="5"/>
      <c r="F543" s="70"/>
      <c r="G543" s="70"/>
      <c r="H543" s="70"/>
      <c r="I543" s="70"/>
      <c r="J543" s="70"/>
      <c r="K543" s="70"/>
      <c r="L543" s="70"/>
      <c r="M543" s="70"/>
      <c r="N543" s="70"/>
      <c r="O543" s="70"/>
      <c r="P543" s="70"/>
      <c r="Q543" s="70"/>
      <c r="R543" s="70"/>
      <c r="S543" s="70"/>
      <c r="T543" s="70"/>
      <c r="U543" s="70"/>
      <c r="V543" s="70"/>
      <c r="W543" s="70"/>
    </row>
    <row r="544" ht="14.25" customHeight="1">
      <c r="A544" s="70"/>
      <c r="B544" s="70"/>
      <c r="C544" s="70"/>
      <c r="D544" s="70"/>
      <c r="E544" s="5"/>
      <c r="F544" s="70"/>
      <c r="G544" s="70"/>
      <c r="H544" s="70"/>
      <c r="I544" s="70"/>
      <c r="J544" s="70"/>
      <c r="K544" s="70"/>
      <c r="L544" s="70"/>
      <c r="M544" s="70"/>
      <c r="N544" s="70"/>
      <c r="O544" s="70"/>
      <c r="P544" s="70"/>
      <c r="Q544" s="70"/>
      <c r="R544" s="70"/>
      <c r="S544" s="70"/>
      <c r="T544" s="70"/>
      <c r="U544" s="70"/>
      <c r="V544" s="70"/>
      <c r="W544" s="70"/>
    </row>
    <row r="545" ht="14.25" customHeight="1">
      <c r="A545" s="70"/>
      <c r="B545" s="70"/>
      <c r="C545" s="70"/>
      <c r="D545" s="70"/>
      <c r="E545" s="5"/>
      <c r="F545" s="70"/>
      <c r="G545" s="70"/>
      <c r="H545" s="70"/>
      <c r="I545" s="70"/>
      <c r="J545" s="70"/>
      <c r="K545" s="70"/>
      <c r="L545" s="70"/>
      <c r="M545" s="70"/>
      <c r="N545" s="70"/>
      <c r="O545" s="70"/>
      <c r="P545" s="70"/>
      <c r="Q545" s="70"/>
      <c r="R545" s="70"/>
      <c r="S545" s="70"/>
      <c r="T545" s="70"/>
      <c r="U545" s="70"/>
      <c r="V545" s="70"/>
      <c r="W545" s="70"/>
    </row>
    <row r="546" ht="14.25" customHeight="1">
      <c r="A546" s="70"/>
      <c r="B546" s="70"/>
      <c r="C546" s="70"/>
      <c r="D546" s="70"/>
      <c r="E546" s="5"/>
      <c r="F546" s="70"/>
      <c r="G546" s="70"/>
      <c r="H546" s="70"/>
      <c r="I546" s="70"/>
      <c r="J546" s="70"/>
      <c r="K546" s="70"/>
      <c r="L546" s="70"/>
      <c r="M546" s="70"/>
      <c r="N546" s="70"/>
      <c r="O546" s="70"/>
      <c r="P546" s="70"/>
      <c r="Q546" s="70"/>
      <c r="R546" s="70"/>
      <c r="S546" s="70"/>
      <c r="T546" s="70"/>
      <c r="U546" s="70"/>
      <c r="V546" s="70"/>
      <c r="W546" s="70"/>
    </row>
    <row r="547" ht="14.25" customHeight="1">
      <c r="A547" s="70"/>
      <c r="B547" s="70"/>
      <c r="C547" s="70"/>
      <c r="D547" s="70"/>
      <c r="E547" s="5"/>
      <c r="F547" s="70"/>
      <c r="G547" s="70"/>
      <c r="H547" s="70"/>
      <c r="I547" s="70"/>
      <c r="J547" s="70"/>
      <c r="K547" s="70"/>
      <c r="L547" s="70"/>
      <c r="M547" s="70"/>
      <c r="N547" s="70"/>
      <c r="O547" s="70"/>
      <c r="P547" s="70"/>
      <c r="Q547" s="70"/>
      <c r="R547" s="70"/>
      <c r="S547" s="70"/>
      <c r="T547" s="70"/>
      <c r="U547" s="70"/>
      <c r="V547" s="70"/>
      <c r="W547" s="70"/>
    </row>
    <row r="548" ht="14.25" customHeight="1">
      <c r="A548" s="70"/>
      <c r="B548" s="70"/>
      <c r="C548" s="70"/>
      <c r="D548" s="70"/>
      <c r="E548" s="5"/>
      <c r="F548" s="70"/>
      <c r="G548" s="70"/>
      <c r="H548" s="70"/>
      <c r="I548" s="70"/>
      <c r="J548" s="70"/>
      <c r="K548" s="70"/>
      <c r="L548" s="70"/>
      <c r="M548" s="70"/>
      <c r="N548" s="70"/>
      <c r="O548" s="70"/>
      <c r="P548" s="70"/>
      <c r="Q548" s="70"/>
      <c r="R548" s="70"/>
      <c r="S548" s="70"/>
      <c r="T548" s="70"/>
      <c r="U548" s="70"/>
      <c r="V548" s="70"/>
      <c r="W548" s="70"/>
    </row>
    <row r="549" ht="14.25" customHeight="1">
      <c r="A549" s="70"/>
      <c r="B549" s="70"/>
      <c r="C549" s="70"/>
      <c r="D549" s="70"/>
      <c r="E549" s="5"/>
      <c r="F549" s="70"/>
      <c r="G549" s="70"/>
      <c r="H549" s="70"/>
      <c r="I549" s="70"/>
      <c r="J549" s="70"/>
      <c r="K549" s="70"/>
      <c r="L549" s="70"/>
      <c r="M549" s="70"/>
      <c r="N549" s="70"/>
      <c r="O549" s="70"/>
      <c r="P549" s="70"/>
      <c r="Q549" s="70"/>
      <c r="R549" s="70"/>
      <c r="S549" s="70"/>
      <c r="T549" s="70"/>
      <c r="U549" s="70"/>
      <c r="V549" s="70"/>
      <c r="W549" s="70"/>
    </row>
    <row r="550" ht="14.25" customHeight="1">
      <c r="A550" s="70"/>
      <c r="B550" s="70"/>
      <c r="C550" s="70"/>
      <c r="D550" s="70"/>
      <c r="E550" s="5"/>
      <c r="F550" s="70"/>
      <c r="G550" s="70"/>
      <c r="H550" s="70"/>
      <c r="I550" s="70"/>
      <c r="J550" s="70"/>
      <c r="K550" s="70"/>
      <c r="L550" s="70"/>
      <c r="M550" s="70"/>
      <c r="N550" s="70"/>
      <c r="O550" s="70"/>
      <c r="P550" s="70"/>
      <c r="Q550" s="70"/>
      <c r="R550" s="70"/>
      <c r="S550" s="70"/>
      <c r="T550" s="70"/>
      <c r="U550" s="70"/>
      <c r="V550" s="70"/>
      <c r="W550" s="70"/>
    </row>
    <row r="551" ht="14.25" customHeight="1">
      <c r="A551" s="70"/>
      <c r="B551" s="70"/>
      <c r="C551" s="70"/>
      <c r="D551" s="70"/>
      <c r="E551" s="5"/>
      <c r="F551" s="70"/>
      <c r="G551" s="70"/>
      <c r="H551" s="70"/>
      <c r="I551" s="70"/>
      <c r="J551" s="70"/>
      <c r="K551" s="70"/>
      <c r="L551" s="70"/>
      <c r="M551" s="70"/>
      <c r="N551" s="70"/>
      <c r="O551" s="70"/>
      <c r="P551" s="70"/>
      <c r="Q551" s="70"/>
      <c r="R551" s="70"/>
      <c r="S551" s="70"/>
      <c r="T551" s="70"/>
      <c r="U551" s="70"/>
      <c r="V551" s="70"/>
      <c r="W551" s="70"/>
    </row>
    <row r="552" ht="14.25" customHeight="1">
      <c r="A552" s="70"/>
      <c r="B552" s="70"/>
      <c r="C552" s="70"/>
      <c r="D552" s="70"/>
      <c r="E552" s="5"/>
      <c r="F552" s="70"/>
      <c r="G552" s="70"/>
      <c r="H552" s="70"/>
      <c r="I552" s="70"/>
      <c r="J552" s="70"/>
      <c r="K552" s="70"/>
      <c r="L552" s="70"/>
      <c r="M552" s="70"/>
      <c r="N552" s="70"/>
      <c r="O552" s="70"/>
      <c r="P552" s="70"/>
      <c r="Q552" s="70"/>
      <c r="R552" s="70"/>
      <c r="S552" s="70"/>
      <c r="T552" s="70"/>
      <c r="U552" s="70"/>
      <c r="V552" s="70"/>
      <c r="W552" s="70"/>
    </row>
    <row r="553" ht="14.25" customHeight="1">
      <c r="A553" s="70"/>
      <c r="B553" s="70"/>
      <c r="C553" s="70"/>
      <c r="D553" s="70"/>
      <c r="E553" s="5"/>
      <c r="F553" s="70"/>
      <c r="G553" s="70"/>
      <c r="H553" s="70"/>
      <c r="I553" s="70"/>
      <c r="J553" s="70"/>
      <c r="K553" s="70"/>
      <c r="L553" s="70"/>
      <c r="M553" s="70"/>
      <c r="N553" s="70"/>
      <c r="O553" s="70"/>
      <c r="P553" s="70"/>
      <c r="Q553" s="70"/>
      <c r="R553" s="70"/>
      <c r="S553" s="70"/>
      <c r="T553" s="70"/>
      <c r="U553" s="70"/>
      <c r="V553" s="70"/>
      <c r="W553" s="70"/>
    </row>
    <row r="554" ht="14.25" customHeight="1">
      <c r="A554" s="70"/>
      <c r="B554" s="70"/>
      <c r="C554" s="70"/>
      <c r="D554" s="70"/>
      <c r="E554" s="5"/>
      <c r="F554" s="70"/>
      <c r="G554" s="70"/>
      <c r="H554" s="70"/>
      <c r="I554" s="70"/>
      <c r="J554" s="70"/>
      <c r="K554" s="70"/>
      <c r="L554" s="70"/>
      <c r="M554" s="70"/>
      <c r="N554" s="70"/>
      <c r="O554" s="70"/>
      <c r="P554" s="70"/>
      <c r="Q554" s="70"/>
      <c r="R554" s="70"/>
      <c r="S554" s="70"/>
      <c r="T554" s="70"/>
      <c r="U554" s="70"/>
      <c r="V554" s="70"/>
      <c r="W554" s="70"/>
    </row>
    <row r="555" ht="14.25" customHeight="1">
      <c r="A555" s="70"/>
      <c r="B555" s="70"/>
      <c r="C555" s="70"/>
      <c r="D555" s="70"/>
      <c r="E555" s="5"/>
      <c r="F555" s="70"/>
      <c r="G555" s="70"/>
      <c r="H555" s="70"/>
      <c r="I555" s="70"/>
      <c r="J555" s="70"/>
      <c r="K555" s="70"/>
      <c r="L555" s="70"/>
      <c r="M555" s="70"/>
      <c r="N555" s="70"/>
      <c r="O555" s="70"/>
      <c r="P555" s="70"/>
      <c r="Q555" s="70"/>
      <c r="R555" s="70"/>
      <c r="S555" s="70"/>
      <c r="T555" s="70"/>
      <c r="U555" s="70"/>
      <c r="V555" s="70"/>
      <c r="W555" s="70"/>
    </row>
    <row r="556" ht="14.25" customHeight="1">
      <c r="A556" s="70"/>
      <c r="B556" s="70"/>
      <c r="C556" s="70"/>
      <c r="D556" s="70"/>
      <c r="E556" s="5"/>
      <c r="F556" s="70"/>
      <c r="G556" s="70"/>
      <c r="H556" s="70"/>
      <c r="I556" s="70"/>
      <c r="J556" s="70"/>
      <c r="K556" s="70"/>
      <c r="L556" s="70"/>
      <c r="M556" s="70"/>
      <c r="N556" s="70"/>
      <c r="O556" s="70"/>
      <c r="P556" s="70"/>
      <c r="Q556" s="70"/>
      <c r="R556" s="70"/>
      <c r="S556" s="70"/>
      <c r="T556" s="70"/>
      <c r="U556" s="70"/>
      <c r="V556" s="70"/>
      <c r="W556" s="70"/>
    </row>
    <row r="557" ht="14.25" customHeight="1">
      <c r="A557" s="70"/>
      <c r="B557" s="70"/>
      <c r="C557" s="70"/>
      <c r="D557" s="70"/>
      <c r="E557" s="5"/>
      <c r="F557" s="70"/>
      <c r="G557" s="70"/>
      <c r="H557" s="70"/>
      <c r="I557" s="70"/>
      <c r="J557" s="70"/>
      <c r="K557" s="70"/>
      <c r="L557" s="70"/>
      <c r="M557" s="70"/>
      <c r="N557" s="70"/>
      <c r="O557" s="70"/>
      <c r="P557" s="70"/>
      <c r="Q557" s="70"/>
      <c r="R557" s="70"/>
      <c r="S557" s="70"/>
      <c r="T557" s="70"/>
      <c r="U557" s="70"/>
      <c r="V557" s="70"/>
      <c r="W557" s="70"/>
    </row>
    <row r="558" ht="14.25" customHeight="1">
      <c r="A558" s="70"/>
      <c r="B558" s="70"/>
      <c r="C558" s="70"/>
      <c r="D558" s="70"/>
      <c r="E558" s="5"/>
      <c r="F558" s="70"/>
      <c r="G558" s="70"/>
      <c r="H558" s="70"/>
      <c r="I558" s="70"/>
      <c r="J558" s="70"/>
      <c r="K558" s="70"/>
      <c r="L558" s="70"/>
      <c r="M558" s="70"/>
      <c r="N558" s="70"/>
      <c r="O558" s="70"/>
      <c r="P558" s="70"/>
      <c r="Q558" s="70"/>
      <c r="R558" s="70"/>
      <c r="S558" s="70"/>
      <c r="T558" s="70"/>
      <c r="U558" s="70"/>
      <c r="V558" s="70"/>
      <c r="W558" s="70"/>
    </row>
    <row r="559" ht="14.25" customHeight="1">
      <c r="A559" s="70"/>
      <c r="B559" s="70"/>
      <c r="C559" s="70"/>
      <c r="D559" s="70"/>
      <c r="E559" s="5"/>
      <c r="F559" s="70"/>
      <c r="G559" s="70"/>
      <c r="H559" s="70"/>
      <c r="I559" s="70"/>
      <c r="J559" s="70"/>
      <c r="K559" s="70"/>
      <c r="L559" s="70"/>
      <c r="M559" s="70"/>
      <c r="N559" s="70"/>
      <c r="O559" s="70"/>
      <c r="P559" s="70"/>
      <c r="Q559" s="70"/>
      <c r="R559" s="70"/>
      <c r="S559" s="70"/>
      <c r="T559" s="70"/>
      <c r="U559" s="70"/>
      <c r="V559" s="70"/>
      <c r="W559" s="70"/>
    </row>
    <row r="560" ht="14.25" customHeight="1">
      <c r="A560" s="70"/>
      <c r="B560" s="70"/>
      <c r="C560" s="70"/>
      <c r="D560" s="70"/>
      <c r="E560" s="5"/>
      <c r="F560" s="70"/>
      <c r="G560" s="70"/>
      <c r="H560" s="70"/>
      <c r="I560" s="70"/>
      <c r="J560" s="70"/>
      <c r="K560" s="70"/>
      <c r="L560" s="70"/>
      <c r="M560" s="70"/>
      <c r="N560" s="70"/>
      <c r="O560" s="70"/>
      <c r="P560" s="70"/>
      <c r="Q560" s="70"/>
      <c r="R560" s="70"/>
      <c r="S560" s="70"/>
      <c r="T560" s="70"/>
      <c r="U560" s="70"/>
      <c r="V560" s="70"/>
      <c r="W560" s="70"/>
    </row>
    <row r="561" ht="14.25" customHeight="1">
      <c r="A561" s="70"/>
      <c r="B561" s="70"/>
      <c r="C561" s="70"/>
      <c r="D561" s="70"/>
      <c r="E561" s="5"/>
      <c r="F561" s="70"/>
      <c r="G561" s="70"/>
      <c r="H561" s="70"/>
      <c r="I561" s="70"/>
      <c r="J561" s="70"/>
      <c r="K561" s="70"/>
      <c r="L561" s="70"/>
      <c r="M561" s="70"/>
      <c r="N561" s="70"/>
      <c r="O561" s="70"/>
      <c r="P561" s="70"/>
      <c r="Q561" s="70"/>
      <c r="R561" s="70"/>
      <c r="S561" s="70"/>
      <c r="T561" s="70"/>
      <c r="U561" s="70"/>
      <c r="V561" s="70"/>
      <c r="W561" s="70"/>
    </row>
    <row r="562" ht="14.25" customHeight="1">
      <c r="A562" s="70"/>
      <c r="B562" s="70"/>
      <c r="C562" s="70"/>
      <c r="D562" s="70"/>
      <c r="E562" s="5"/>
      <c r="F562" s="70"/>
      <c r="G562" s="70"/>
      <c r="H562" s="70"/>
      <c r="I562" s="70"/>
      <c r="J562" s="70"/>
      <c r="K562" s="70"/>
      <c r="L562" s="70"/>
      <c r="M562" s="70"/>
      <c r="N562" s="70"/>
      <c r="O562" s="70"/>
      <c r="P562" s="70"/>
      <c r="Q562" s="70"/>
      <c r="R562" s="70"/>
      <c r="S562" s="70"/>
      <c r="T562" s="70"/>
      <c r="U562" s="70"/>
      <c r="V562" s="70"/>
      <c r="W562" s="70"/>
    </row>
    <row r="563" ht="14.25" customHeight="1">
      <c r="A563" s="70"/>
      <c r="B563" s="70"/>
      <c r="C563" s="70"/>
      <c r="D563" s="70"/>
      <c r="E563" s="5"/>
      <c r="F563" s="70"/>
      <c r="G563" s="70"/>
      <c r="H563" s="70"/>
      <c r="I563" s="70"/>
      <c r="J563" s="70"/>
      <c r="K563" s="70"/>
      <c r="L563" s="70"/>
      <c r="M563" s="70"/>
      <c r="N563" s="70"/>
      <c r="O563" s="70"/>
      <c r="P563" s="70"/>
      <c r="Q563" s="70"/>
      <c r="R563" s="70"/>
      <c r="S563" s="70"/>
      <c r="T563" s="70"/>
      <c r="U563" s="70"/>
      <c r="V563" s="70"/>
      <c r="W563" s="70"/>
    </row>
    <row r="564" ht="14.25" customHeight="1">
      <c r="A564" s="70"/>
      <c r="B564" s="70"/>
      <c r="C564" s="70"/>
      <c r="D564" s="70"/>
      <c r="E564" s="5"/>
      <c r="F564" s="70"/>
      <c r="G564" s="70"/>
      <c r="H564" s="70"/>
      <c r="I564" s="70"/>
      <c r="J564" s="70"/>
      <c r="K564" s="70"/>
      <c r="L564" s="70"/>
      <c r="M564" s="70"/>
      <c r="N564" s="70"/>
      <c r="O564" s="70"/>
      <c r="P564" s="70"/>
      <c r="Q564" s="70"/>
      <c r="R564" s="70"/>
      <c r="S564" s="70"/>
      <c r="T564" s="70"/>
      <c r="U564" s="70"/>
      <c r="V564" s="70"/>
      <c r="W564" s="70"/>
    </row>
    <row r="565" ht="14.25" customHeight="1">
      <c r="A565" s="70"/>
      <c r="B565" s="70"/>
      <c r="C565" s="70"/>
      <c r="D565" s="70"/>
      <c r="E565" s="5"/>
      <c r="F565" s="70"/>
      <c r="G565" s="70"/>
      <c r="H565" s="70"/>
      <c r="I565" s="70"/>
      <c r="J565" s="70"/>
      <c r="K565" s="70"/>
      <c r="L565" s="70"/>
      <c r="M565" s="70"/>
      <c r="N565" s="70"/>
      <c r="O565" s="70"/>
      <c r="P565" s="70"/>
      <c r="Q565" s="70"/>
      <c r="R565" s="70"/>
      <c r="S565" s="70"/>
      <c r="T565" s="70"/>
      <c r="U565" s="70"/>
      <c r="V565" s="70"/>
      <c r="W565" s="70"/>
    </row>
    <row r="566" ht="14.25" customHeight="1">
      <c r="A566" s="70"/>
      <c r="B566" s="70"/>
      <c r="C566" s="70"/>
      <c r="D566" s="70"/>
      <c r="E566" s="5"/>
      <c r="F566" s="70"/>
      <c r="G566" s="70"/>
      <c r="H566" s="70"/>
      <c r="I566" s="70"/>
      <c r="J566" s="70"/>
      <c r="K566" s="70"/>
      <c r="L566" s="70"/>
      <c r="M566" s="70"/>
      <c r="N566" s="70"/>
      <c r="O566" s="70"/>
      <c r="P566" s="70"/>
      <c r="Q566" s="70"/>
      <c r="R566" s="70"/>
      <c r="S566" s="70"/>
      <c r="T566" s="70"/>
      <c r="U566" s="70"/>
      <c r="V566" s="70"/>
      <c r="W566" s="70"/>
    </row>
    <row r="567" ht="14.25" customHeight="1">
      <c r="A567" s="70"/>
      <c r="B567" s="70"/>
      <c r="C567" s="70"/>
      <c r="D567" s="70"/>
      <c r="E567" s="5"/>
      <c r="F567" s="70"/>
      <c r="G567" s="70"/>
      <c r="H567" s="70"/>
      <c r="I567" s="70"/>
      <c r="J567" s="70"/>
      <c r="K567" s="70"/>
      <c r="L567" s="70"/>
      <c r="M567" s="70"/>
      <c r="N567" s="70"/>
      <c r="O567" s="70"/>
      <c r="P567" s="70"/>
      <c r="Q567" s="70"/>
      <c r="R567" s="70"/>
      <c r="S567" s="70"/>
      <c r="T567" s="70"/>
      <c r="U567" s="70"/>
      <c r="V567" s="70"/>
      <c r="W567" s="70"/>
    </row>
    <row r="568" ht="14.25" customHeight="1">
      <c r="A568" s="70"/>
      <c r="B568" s="70"/>
      <c r="C568" s="70"/>
      <c r="D568" s="70"/>
      <c r="E568" s="5"/>
      <c r="F568" s="70"/>
      <c r="G568" s="70"/>
      <c r="H568" s="70"/>
      <c r="I568" s="70"/>
      <c r="J568" s="70"/>
      <c r="K568" s="70"/>
      <c r="L568" s="70"/>
      <c r="M568" s="70"/>
      <c r="N568" s="70"/>
      <c r="O568" s="70"/>
      <c r="P568" s="70"/>
      <c r="Q568" s="70"/>
      <c r="R568" s="70"/>
      <c r="S568" s="70"/>
      <c r="T568" s="70"/>
      <c r="U568" s="70"/>
      <c r="V568" s="70"/>
      <c r="W568" s="70"/>
    </row>
    <row r="569" ht="14.25" customHeight="1">
      <c r="A569" s="70"/>
      <c r="B569" s="70"/>
      <c r="C569" s="70"/>
      <c r="D569" s="70"/>
      <c r="E569" s="5"/>
      <c r="F569" s="70"/>
      <c r="G569" s="70"/>
      <c r="H569" s="70"/>
      <c r="I569" s="70"/>
      <c r="J569" s="70"/>
      <c r="K569" s="70"/>
      <c r="L569" s="70"/>
      <c r="M569" s="70"/>
      <c r="N569" s="70"/>
      <c r="O569" s="70"/>
      <c r="P569" s="70"/>
      <c r="Q569" s="70"/>
      <c r="R569" s="70"/>
      <c r="S569" s="70"/>
      <c r="T569" s="70"/>
      <c r="U569" s="70"/>
      <c r="V569" s="70"/>
      <c r="W569" s="70"/>
    </row>
    <row r="570" ht="14.25" customHeight="1">
      <c r="A570" s="70"/>
      <c r="B570" s="70"/>
      <c r="C570" s="70"/>
      <c r="D570" s="70"/>
      <c r="E570" s="5"/>
      <c r="F570" s="70"/>
      <c r="G570" s="70"/>
      <c r="H570" s="70"/>
      <c r="I570" s="70"/>
      <c r="J570" s="70"/>
      <c r="K570" s="70"/>
      <c r="L570" s="70"/>
      <c r="M570" s="70"/>
      <c r="N570" s="70"/>
      <c r="O570" s="70"/>
      <c r="P570" s="70"/>
      <c r="Q570" s="70"/>
      <c r="R570" s="70"/>
      <c r="S570" s="70"/>
      <c r="T570" s="70"/>
      <c r="U570" s="70"/>
      <c r="V570" s="70"/>
      <c r="W570" s="70"/>
    </row>
    <row r="571" ht="14.25" customHeight="1">
      <c r="A571" s="70"/>
      <c r="B571" s="70"/>
      <c r="C571" s="70"/>
      <c r="D571" s="70"/>
      <c r="E571" s="5"/>
      <c r="F571" s="70"/>
      <c r="G571" s="70"/>
      <c r="H571" s="70"/>
      <c r="I571" s="70"/>
      <c r="J571" s="70"/>
      <c r="K571" s="70"/>
      <c r="L571" s="70"/>
      <c r="M571" s="70"/>
      <c r="N571" s="70"/>
      <c r="O571" s="70"/>
      <c r="P571" s="70"/>
      <c r="Q571" s="70"/>
      <c r="R571" s="70"/>
      <c r="S571" s="70"/>
      <c r="T571" s="70"/>
      <c r="U571" s="70"/>
      <c r="V571" s="70"/>
      <c r="W571" s="70"/>
    </row>
    <row r="572" ht="14.25" customHeight="1">
      <c r="A572" s="70"/>
      <c r="B572" s="70"/>
      <c r="C572" s="70"/>
      <c r="D572" s="70"/>
      <c r="E572" s="5"/>
      <c r="F572" s="70"/>
      <c r="G572" s="70"/>
      <c r="H572" s="70"/>
      <c r="I572" s="70"/>
      <c r="J572" s="70"/>
      <c r="K572" s="70"/>
      <c r="L572" s="70"/>
      <c r="M572" s="70"/>
      <c r="N572" s="70"/>
      <c r="O572" s="70"/>
      <c r="P572" s="70"/>
      <c r="Q572" s="70"/>
      <c r="R572" s="70"/>
      <c r="S572" s="70"/>
      <c r="T572" s="70"/>
      <c r="U572" s="70"/>
      <c r="V572" s="70"/>
      <c r="W572" s="70"/>
    </row>
    <row r="573" ht="14.25" customHeight="1">
      <c r="A573" s="70"/>
      <c r="B573" s="70"/>
      <c r="C573" s="70"/>
      <c r="D573" s="70"/>
      <c r="E573" s="5"/>
      <c r="F573" s="70"/>
      <c r="G573" s="70"/>
      <c r="H573" s="70"/>
      <c r="I573" s="70"/>
      <c r="J573" s="70"/>
      <c r="K573" s="70"/>
      <c r="L573" s="70"/>
      <c r="M573" s="70"/>
      <c r="N573" s="70"/>
      <c r="O573" s="70"/>
      <c r="P573" s="70"/>
      <c r="Q573" s="70"/>
      <c r="R573" s="70"/>
      <c r="S573" s="70"/>
      <c r="T573" s="70"/>
      <c r="U573" s="70"/>
      <c r="V573" s="70"/>
      <c r="W573" s="70"/>
    </row>
    <row r="574" ht="14.25" customHeight="1">
      <c r="A574" s="70"/>
      <c r="B574" s="70"/>
      <c r="C574" s="70"/>
      <c r="D574" s="70"/>
      <c r="E574" s="5"/>
      <c r="F574" s="70"/>
      <c r="G574" s="70"/>
      <c r="H574" s="70"/>
      <c r="I574" s="70"/>
      <c r="J574" s="70"/>
      <c r="K574" s="70"/>
      <c r="L574" s="70"/>
      <c r="M574" s="70"/>
      <c r="N574" s="70"/>
      <c r="O574" s="70"/>
      <c r="P574" s="70"/>
      <c r="Q574" s="70"/>
      <c r="R574" s="70"/>
      <c r="S574" s="70"/>
      <c r="T574" s="70"/>
      <c r="U574" s="70"/>
      <c r="V574" s="70"/>
      <c r="W574" s="70"/>
    </row>
    <row r="575" ht="14.25" customHeight="1">
      <c r="A575" s="70"/>
      <c r="B575" s="70"/>
      <c r="C575" s="70"/>
      <c r="D575" s="70"/>
      <c r="E575" s="5"/>
      <c r="F575" s="70"/>
      <c r="G575" s="70"/>
      <c r="H575" s="70"/>
      <c r="I575" s="70"/>
      <c r="J575" s="70"/>
      <c r="K575" s="70"/>
      <c r="L575" s="70"/>
      <c r="M575" s="70"/>
      <c r="N575" s="70"/>
      <c r="O575" s="70"/>
      <c r="P575" s="70"/>
      <c r="Q575" s="70"/>
      <c r="R575" s="70"/>
      <c r="S575" s="70"/>
      <c r="T575" s="70"/>
      <c r="U575" s="70"/>
      <c r="V575" s="70"/>
      <c r="W575" s="70"/>
    </row>
    <row r="576" ht="14.25" customHeight="1">
      <c r="A576" s="70"/>
      <c r="B576" s="70"/>
      <c r="C576" s="70"/>
      <c r="D576" s="70"/>
      <c r="E576" s="5"/>
      <c r="F576" s="70"/>
      <c r="G576" s="70"/>
      <c r="H576" s="70"/>
      <c r="I576" s="70"/>
      <c r="J576" s="70"/>
      <c r="K576" s="70"/>
      <c r="L576" s="70"/>
      <c r="M576" s="70"/>
      <c r="N576" s="70"/>
      <c r="O576" s="70"/>
      <c r="P576" s="70"/>
      <c r="Q576" s="70"/>
      <c r="R576" s="70"/>
      <c r="S576" s="70"/>
      <c r="T576" s="70"/>
      <c r="U576" s="70"/>
      <c r="V576" s="70"/>
      <c r="W576" s="70"/>
    </row>
    <row r="577" ht="14.25" customHeight="1">
      <c r="A577" s="70"/>
      <c r="B577" s="70"/>
      <c r="C577" s="70"/>
      <c r="D577" s="70"/>
      <c r="E577" s="5"/>
      <c r="F577" s="70"/>
      <c r="G577" s="70"/>
      <c r="H577" s="70"/>
      <c r="I577" s="70"/>
      <c r="J577" s="70"/>
      <c r="K577" s="70"/>
      <c r="L577" s="70"/>
      <c r="M577" s="70"/>
      <c r="N577" s="70"/>
      <c r="O577" s="70"/>
      <c r="P577" s="70"/>
      <c r="Q577" s="70"/>
      <c r="R577" s="70"/>
      <c r="S577" s="70"/>
      <c r="T577" s="70"/>
      <c r="U577" s="70"/>
      <c r="V577" s="70"/>
      <c r="W577" s="70"/>
    </row>
    <row r="578" ht="14.25" customHeight="1">
      <c r="A578" s="70"/>
      <c r="B578" s="70"/>
      <c r="C578" s="70"/>
      <c r="D578" s="70"/>
      <c r="E578" s="5"/>
      <c r="F578" s="70"/>
      <c r="G578" s="70"/>
      <c r="H578" s="70"/>
      <c r="I578" s="70"/>
      <c r="J578" s="70"/>
      <c r="K578" s="70"/>
      <c r="L578" s="70"/>
      <c r="M578" s="70"/>
      <c r="N578" s="70"/>
      <c r="O578" s="70"/>
      <c r="P578" s="70"/>
      <c r="Q578" s="70"/>
      <c r="R578" s="70"/>
      <c r="S578" s="70"/>
      <c r="T578" s="70"/>
      <c r="U578" s="70"/>
      <c r="V578" s="70"/>
      <c r="W578" s="70"/>
    </row>
    <row r="579" ht="14.25" customHeight="1">
      <c r="A579" s="70"/>
      <c r="B579" s="70"/>
      <c r="C579" s="70"/>
      <c r="D579" s="70"/>
      <c r="E579" s="5"/>
      <c r="F579" s="70"/>
      <c r="G579" s="70"/>
      <c r="H579" s="70"/>
      <c r="I579" s="70"/>
      <c r="J579" s="70"/>
      <c r="K579" s="70"/>
      <c r="L579" s="70"/>
      <c r="M579" s="70"/>
      <c r="N579" s="70"/>
      <c r="O579" s="70"/>
      <c r="P579" s="70"/>
      <c r="Q579" s="70"/>
      <c r="R579" s="70"/>
      <c r="S579" s="70"/>
      <c r="T579" s="70"/>
      <c r="U579" s="70"/>
      <c r="V579" s="70"/>
      <c r="W579" s="70"/>
    </row>
    <row r="580" ht="14.25" customHeight="1">
      <c r="A580" s="70"/>
      <c r="B580" s="70"/>
      <c r="C580" s="70"/>
      <c r="D580" s="70"/>
      <c r="E580" s="5"/>
      <c r="F580" s="70"/>
      <c r="G580" s="70"/>
      <c r="H580" s="70"/>
      <c r="I580" s="70"/>
      <c r="J580" s="70"/>
      <c r="K580" s="70"/>
      <c r="L580" s="70"/>
      <c r="M580" s="70"/>
      <c r="N580" s="70"/>
      <c r="O580" s="70"/>
      <c r="P580" s="70"/>
      <c r="Q580" s="70"/>
      <c r="R580" s="70"/>
      <c r="S580" s="70"/>
      <c r="T580" s="70"/>
      <c r="U580" s="70"/>
      <c r="V580" s="70"/>
      <c r="W580" s="70"/>
    </row>
    <row r="581" ht="14.25" customHeight="1">
      <c r="A581" s="70"/>
      <c r="B581" s="70"/>
      <c r="C581" s="70"/>
      <c r="D581" s="70"/>
      <c r="E581" s="5"/>
      <c r="F581" s="70"/>
      <c r="G581" s="70"/>
      <c r="H581" s="70"/>
      <c r="I581" s="70"/>
      <c r="J581" s="70"/>
      <c r="K581" s="70"/>
      <c r="L581" s="70"/>
      <c r="M581" s="70"/>
      <c r="N581" s="70"/>
      <c r="O581" s="70"/>
      <c r="P581" s="70"/>
      <c r="Q581" s="70"/>
      <c r="R581" s="70"/>
      <c r="S581" s="70"/>
      <c r="T581" s="70"/>
      <c r="U581" s="70"/>
      <c r="V581" s="70"/>
      <c r="W581" s="70"/>
    </row>
    <row r="582" ht="14.25" customHeight="1">
      <c r="A582" s="70"/>
      <c r="B582" s="70"/>
      <c r="C582" s="70"/>
      <c r="D582" s="70"/>
      <c r="E582" s="5"/>
      <c r="F582" s="70"/>
      <c r="G582" s="70"/>
      <c r="H582" s="70"/>
      <c r="I582" s="70"/>
      <c r="J582" s="70"/>
      <c r="K582" s="70"/>
      <c r="L582" s="70"/>
      <c r="M582" s="70"/>
      <c r="N582" s="70"/>
      <c r="O582" s="70"/>
      <c r="P582" s="70"/>
      <c r="Q582" s="70"/>
      <c r="R582" s="70"/>
      <c r="S582" s="70"/>
      <c r="T582" s="70"/>
      <c r="U582" s="70"/>
      <c r="V582" s="70"/>
      <c r="W582" s="70"/>
    </row>
    <row r="583" ht="14.25" customHeight="1">
      <c r="A583" s="70"/>
      <c r="B583" s="70"/>
      <c r="C583" s="70"/>
      <c r="D583" s="70"/>
      <c r="E583" s="5"/>
      <c r="F583" s="70"/>
      <c r="G583" s="70"/>
      <c r="H583" s="70"/>
      <c r="I583" s="70"/>
      <c r="J583" s="70"/>
      <c r="K583" s="70"/>
      <c r="L583" s="70"/>
      <c r="M583" s="70"/>
      <c r="N583" s="70"/>
      <c r="O583" s="70"/>
      <c r="P583" s="70"/>
      <c r="Q583" s="70"/>
      <c r="R583" s="70"/>
      <c r="S583" s="70"/>
      <c r="T583" s="70"/>
      <c r="U583" s="70"/>
      <c r="V583" s="70"/>
      <c r="W583" s="70"/>
    </row>
    <row r="584" ht="14.25" customHeight="1">
      <c r="A584" s="70"/>
      <c r="B584" s="70"/>
      <c r="C584" s="70"/>
      <c r="D584" s="70"/>
      <c r="E584" s="5"/>
      <c r="F584" s="70"/>
      <c r="G584" s="70"/>
      <c r="H584" s="70"/>
      <c r="I584" s="70"/>
      <c r="J584" s="70"/>
      <c r="K584" s="70"/>
      <c r="L584" s="70"/>
      <c r="M584" s="70"/>
      <c r="N584" s="70"/>
      <c r="O584" s="70"/>
      <c r="P584" s="70"/>
      <c r="Q584" s="70"/>
      <c r="R584" s="70"/>
      <c r="S584" s="70"/>
      <c r="T584" s="70"/>
      <c r="U584" s="70"/>
      <c r="V584" s="70"/>
      <c r="W584" s="70"/>
    </row>
    <row r="585" ht="14.25" customHeight="1">
      <c r="A585" s="70"/>
      <c r="B585" s="70"/>
      <c r="C585" s="70"/>
      <c r="D585" s="70"/>
      <c r="E585" s="5"/>
      <c r="F585" s="70"/>
      <c r="G585" s="70"/>
      <c r="H585" s="70"/>
      <c r="I585" s="70"/>
      <c r="J585" s="70"/>
      <c r="K585" s="70"/>
      <c r="L585" s="70"/>
      <c r="M585" s="70"/>
      <c r="N585" s="70"/>
      <c r="O585" s="70"/>
      <c r="P585" s="70"/>
      <c r="Q585" s="70"/>
      <c r="R585" s="70"/>
      <c r="S585" s="70"/>
      <c r="T585" s="70"/>
      <c r="U585" s="70"/>
      <c r="V585" s="70"/>
      <c r="W585" s="70"/>
    </row>
    <row r="586" ht="14.25" customHeight="1">
      <c r="A586" s="70"/>
      <c r="B586" s="70"/>
      <c r="C586" s="70"/>
      <c r="D586" s="70"/>
      <c r="E586" s="5"/>
      <c r="F586" s="70"/>
      <c r="G586" s="70"/>
      <c r="H586" s="70"/>
      <c r="I586" s="70"/>
      <c r="J586" s="70"/>
      <c r="K586" s="70"/>
      <c r="L586" s="70"/>
      <c r="M586" s="70"/>
      <c r="N586" s="70"/>
      <c r="O586" s="70"/>
      <c r="P586" s="70"/>
      <c r="Q586" s="70"/>
      <c r="R586" s="70"/>
      <c r="S586" s="70"/>
      <c r="T586" s="70"/>
      <c r="U586" s="70"/>
      <c r="V586" s="70"/>
      <c r="W586" s="70"/>
    </row>
    <row r="587" ht="14.25" customHeight="1">
      <c r="A587" s="70"/>
      <c r="B587" s="70"/>
      <c r="C587" s="70"/>
      <c r="D587" s="70"/>
      <c r="E587" s="5"/>
      <c r="F587" s="70"/>
      <c r="G587" s="70"/>
      <c r="H587" s="70"/>
      <c r="I587" s="70"/>
      <c r="J587" s="70"/>
      <c r="K587" s="70"/>
      <c r="L587" s="70"/>
      <c r="M587" s="70"/>
      <c r="N587" s="70"/>
      <c r="O587" s="70"/>
      <c r="P587" s="70"/>
      <c r="Q587" s="70"/>
      <c r="R587" s="70"/>
      <c r="S587" s="70"/>
      <c r="T587" s="70"/>
      <c r="U587" s="70"/>
      <c r="V587" s="70"/>
      <c r="W587" s="70"/>
    </row>
    <row r="588" ht="14.25" customHeight="1">
      <c r="A588" s="70"/>
      <c r="B588" s="70"/>
      <c r="C588" s="70"/>
      <c r="D588" s="70"/>
      <c r="E588" s="5"/>
      <c r="F588" s="70"/>
      <c r="G588" s="70"/>
      <c r="H588" s="70"/>
      <c r="I588" s="70"/>
      <c r="J588" s="70"/>
      <c r="K588" s="70"/>
      <c r="L588" s="70"/>
      <c r="M588" s="70"/>
      <c r="N588" s="70"/>
      <c r="O588" s="70"/>
      <c r="P588" s="70"/>
      <c r="Q588" s="70"/>
      <c r="R588" s="70"/>
      <c r="S588" s="70"/>
      <c r="T588" s="70"/>
      <c r="U588" s="70"/>
      <c r="V588" s="70"/>
      <c r="W588" s="70"/>
    </row>
    <row r="589" ht="14.25" customHeight="1">
      <c r="A589" s="70"/>
      <c r="B589" s="70"/>
      <c r="C589" s="70"/>
      <c r="D589" s="70"/>
      <c r="E589" s="5"/>
      <c r="F589" s="70"/>
      <c r="G589" s="70"/>
      <c r="H589" s="70"/>
      <c r="I589" s="70"/>
      <c r="J589" s="70"/>
      <c r="K589" s="70"/>
      <c r="L589" s="70"/>
      <c r="M589" s="70"/>
      <c r="N589" s="70"/>
      <c r="O589" s="70"/>
      <c r="P589" s="70"/>
      <c r="Q589" s="70"/>
      <c r="R589" s="70"/>
      <c r="S589" s="70"/>
      <c r="T589" s="70"/>
      <c r="U589" s="70"/>
      <c r="V589" s="70"/>
      <c r="W589" s="70"/>
    </row>
    <row r="590" ht="14.25" customHeight="1">
      <c r="A590" s="70"/>
      <c r="B590" s="70"/>
      <c r="C590" s="70"/>
      <c r="D590" s="70"/>
      <c r="E590" s="5"/>
      <c r="F590" s="70"/>
      <c r="G590" s="70"/>
      <c r="H590" s="70"/>
      <c r="I590" s="70"/>
      <c r="J590" s="70"/>
      <c r="K590" s="70"/>
      <c r="L590" s="70"/>
      <c r="M590" s="70"/>
      <c r="N590" s="70"/>
      <c r="O590" s="70"/>
      <c r="P590" s="70"/>
      <c r="Q590" s="70"/>
      <c r="R590" s="70"/>
      <c r="S590" s="70"/>
      <c r="T590" s="70"/>
      <c r="U590" s="70"/>
      <c r="V590" s="70"/>
      <c r="W590" s="70"/>
    </row>
    <row r="591" ht="14.25" customHeight="1">
      <c r="A591" s="70"/>
      <c r="B591" s="70"/>
      <c r="C591" s="70"/>
      <c r="D591" s="70"/>
      <c r="E591" s="5"/>
      <c r="F591" s="70"/>
      <c r="G591" s="70"/>
      <c r="H591" s="70"/>
      <c r="I591" s="70"/>
      <c r="J591" s="70"/>
      <c r="K591" s="70"/>
      <c r="L591" s="70"/>
      <c r="M591" s="70"/>
      <c r="N591" s="70"/>
      <c r="O591" s="70"/>
      <c r="P591" s="70"/>
      <c r="Q591" s="70"/>
      <c r="R591" s="70"/>
      <c r="S591" s="70"/>
      <c r="T591" s="70"/>
      <c r="U591" s="70"/>
      <c r="V591" s="70"/>
      <c r="W591" s="70"/>
    </row>
    <row r="592" ht="14.25" customHeight="1">
      <c r="A592" s="70"/>
      <c r="B592" s="70"/>
      <c r="C592" s="70"/>
      <c r="D592" s="70"/>
      <c r="E592" s="5"/>
      <c r="F592" s="70"/>
      <c r="G592" s="70"/>
      <c r="H592" s="70"/>
      <c r="I592" s="70"/>
      <c r="J592" s="70"/>
      <c r="K592" s="70"/>
      <c r="L592" s="70"/>
      <c r="M592" s="70"/>
      <c r="N592" s="70"/>
      <c r="O592" s="70"/>
      <c r="P592" s="70"/>
      <c r="Q592" s="70"/>
      <c r="R592" s="70"/>
      <c r="S592" s="70"/>
      <c r="T592" s="70"/>
      <c r="U592" s="70"/>
      <c r="V592" s="70"/>
      <c r="W592" s="70"/>
    </row>
    <row r="593" ht="14.25" customHeight="1">
      <c r="A593" s="70"/>
      <c r="B593" s="70"/>
      <c r="C593" s="70"/>
      <c r="D593" s="70"/>
      <c r="E593" s="5"/>
      <c r="F593" s="70"/>
      <c r="G593" s="70"/>
      <c r="H593" s="70"/>
      <c r="I593" s="70"/>
      <c r="J593" s="70"/>
      <c r="K593" s="70"/>
      <c r="L593" s="70"/>
      <c r="M593" s="70"/>
      <c r="N593" s="70"/>
      <c r="O593" s="70"/>
      <c r="P593" s="70"/>
      <c r="Q593" s="70"/>
      <c r="R593" s="70"/>
      <c r="S593" s="70"/>
      <c r="T593" s="70"/>
      <c r="U593" s="70"/>
      <c r="V593" s="70"/>
      <c r="W593" s="70"/>
    </row>
    <row r="594" ht="14.25" customHeight="1">
      <c r="A594" s="70"/>
      <c r="B594" s="70"/>
      <c r="C594" s="70"/>
      <c r="D594" s="70"/>
      <c r="E594" s="5"/>
      <c r="F594" s="70"/>
      <c r="G594" s="70"/>
      <c r="H594" s="70"/>
      <c r="I594" s="70"/>
      <c r="J594" s="70"/>
      <c r="K594" s="70"/>
      <c r="L594" s="70"/>
      <c r="M594" s="70"/>
      <c r="N594" s="70"/>
      <c r="O594" s="70"/>
      <c r="P594" s="70"/>
      <c r="Q594" s="70"/>
      <c r="R594" s="70"/>
      <c r="S594" s="70"/>
      <c r="T594" s="70"/>
      <c r="U594" s="70"/>
      <c r="V594" s="70"/>
      <c r="W594" s="70"/>
    </row>
    <row r="595" ht="14.25" customHeight="1">
      <c r="A595" s="70"/>
      <c r="B595" s="70"/>
      <c r="C595" s="70"/>
      <c r="D595" s="70"/>
      <c r="E595" s="5"/>
      <c r="F595" s="70"/>
      <c r="G595" s="70"/>
      <c r="H595" s="70"/>
      <c r="I595" s="70"/>
      <c r="J595" s="70"/>
      <c r="K595" s="70"/>
      <c r="L595" s="70"/>
      <c r="M595" s="70"/>
      <c r="N595" s="70"/>
      <c r="O595" s="70"/>
      <c r="P595" s="70"/>
      <c r="Q595" s="70"/>
      <c r="R595" s="70"/>
      <c r="S595" s="70"/>
      <c r="T595" s="70"/>
      <c r="U595" s="70"/>
      <c r="V595" s="70"/>
      <c r="W595" s="70"/>
    </row>
    <row r="596" ht="14.25" customHeight="1">
      <c r="A596" s="70"/>
      <c r="B596" s="70"/>
      <c r="C596" s="70"/>
      <c r="D596" s="70"/>
      <c r="E596" s="5"/>
      <c r="F596" s="70"/>
      <c r="G596" s="70"/>
      <c r="H596" s="70"/>
      <c r="I596" s="70"/>
      <c r="J596" s="70"/>
      <c r="K596" s="70"/>
      <c r="L596" s="70"/>
      <c r="M596" s="70"/>
      <c r="N596" s="70"/>
      <c r="O596" s="70"/>
      <c r="P596" s="70"/>
      <c r="Q596" s="70"/>
      <c r="R596" s="70"/>
      <c r="S596" s="70"/>
      <c r="T596" s="70"/>
      <c r="U596" s="70"/>
      <c r="V596" s="70"/>
      <c r="W596" s="70"/>
    </row>
    <row r="597" ht="14.25" customHeight="1">
      <c r="A597" s="70"/>
      <c r="B597" s="70"/>
      <c r="C597" s="70"/>
      <c r="D597" s="70"/>
      <c r="E597" s="5"/>
      <c r="F597" s="70"/>
      <c r="G597" s="70"/>
      <c r="H597" s="70"/>
      <c r="I597" s="70"/>
      <c r="J597" s="70"/>
      <c r="K597" s="70"/>
      <c r="L597" s="70"/>
      <c r="M597" s="70"/>
      <c r="N597" s="70"/>
      <c r="O597" s="70"/>
      <c r="P597" s="70"/>
      <c r="Q597" s="70"/>
      <c r="R597" s="70"/>
      <c r="S597" s="70"/>
      <c r="T597" s="70"/>
      <c r="U597" s="70"/>
      <c r="V597" s="70"/>
      <c r="W597" s="70"/>
    </row>
    <row r="598" ht="14.25" customHeight="1">
      <c r="A598" s="70"/>
      <c r="B598" s="70"/>
      <c r="C598" s="70"/>
      <c r="D598" s="70"/>
      <c r="E598" s="5"/>
      <c r="F598" s="70"/>
      <c r="G598" s="70"/>
      <c r="H598" s="70"/>
      <c r="I598" s="70"/>
      <c r="J598" s="70"/>
      <c r="K598" s="70"/>
      <c r="L598" s="70"/>
      <c r="M598" s="70"/>
      <c r="N598" s="70"/>
      <c r="O598" s="70"/>
      <c r="P598" s="70"/>
      <c r="Q598" s="70"/>
      <c r="R598" s="70"/>
      <c r="S598" s="70"/>
      <c r="T598" s="70"/>
      <c r="U598" s="70"/>
      <c r="V598" s="70"/>
      <c r="W598" s="70"/>
    </row>
    <row r="599" ht="14.25" customHeight="1">
      <c r="A599" s="70"/>
      <c r="B599" s="70"/>
      <c r="C599" s="70"/>
      <c r="D599" s="70"/>
      <c r="E599" s="5"/>
      <c r="F599" s="70"/>
      <c r="G599" s="70"/>
      <c r="H599" s="70"/>
      <c r="I599" s="70"/>
      <c r="J599" s="70"/>
      <c r="K599" s="70"/>
      <c r="L599" s="70"/>
      <c r="M599" s="70"/>
      <c r="N599" s="70"/>
      <c r="O599" s="70"/>
      <c r="P599" s="70"/>
      <c r="Q599" s="70"/>
      <c r="R599" s="70"/>
      <c r="S599" s="70"/>
      <c r="T599" s="70"/>
      <c r="U599" s="70"/>
      <c r="V599" s="70"/>
      <c r="W599" s="70"/>
    </row>
    <row r="600" ht="14.25" customHeight="1">
      <c r="A600" s="70"/>
      <c r="B600" s="70"/>
      <c r="C600" s="70"/>
      <c r="D600" s="70"/>
      <c r="E600" s="5"/>
      <c r="F600" s="70"/>
      <c r="G600" s="70"/>
      <c r="H600" s="70"/>
      <c r="I600" s="70"/>
      <c r="J600" s="70"/>
      <c r="K600" s="70"/>
      <c r="L600" s="70"/>
      <c r="M600" s="70"/>
      <c r="N600" s="70"/>
      <c r="O600" s="70"/>
      <c r="P600" s="70"/>
      <c r="Q600" s="70"/>
      <c r="R600" s="70"/>
      <c r="S600" s="70"/>
      <c r="T600" s="70"/>
      <c r="U600" s="70"/>
      <c r="V600" s="70"/>
      <c r="W600" s="70"/>
    </row>
    <row r="601" ht="14.25" customHeight="1">
      <c r="A601" s="70"/>
      <c r="B601" s="70"/>
      <c r="C601" s="70"/>
      <c r="D601" s="70"/>
      <c r="E601" s="5"/>
      <c r="F601" s="70"/>
      <c r="G601" s="70"/>
      <c r="H601" s="70"/>
      <c r="I601" s="70"/>
      <c r="J601" s="70"/>
      <c r="K601" s="70"/>
      <c r="L601" s="70"/>
      <c r="M601" s="70"/>
      <c r="N601" s="70"/>
      <c r="O601" s="70"/>
      <c r="P601" s="70"/>
      <c r="Q601" s="70"/>
      <c r="R601" s="70"/>
      <c r="S601" s="70"/>
      <c r="T601" s="70"/>
      <c r="U601" s="70"/>
      <c r="V601" s="70"/>
      <c r="W601" s="70"/>
    </row>
    <row r="602" ht="14.25" customHeight="1">
      <c r="A602" s="70"/>
      <c r="B602" s="70"/>
      <c r="C602" s="70"/>
      <c r="D602" s="70"/>
      <c r="E602" s="5"/>
      <c r="F602" s="70"/>
      <c r="G602" s="70"/>
      <c r="H602" s="70"/>
      <c r="I602" s="70"/>
      <c r="J602" s="70"/>
      <c r="K602" s="70"/>
      <c r="L602" s="70"/>
      <c r="M602" s="70"/>
      <c r="N602" s="70"/>
      <c r="O602" s="70"/>
      <c r="P602" s="70"/>
      <c r="Q602" s="70"/>
      <c r="R602" s="70"/>
      <c r="S602" s="70"/>
      <c r="T602" s="70"/>
      <c r="U602" s="70"/>
      <c r="V602" s="70"/>
      <c r="W602" s="70"/>
    </row>
    <row r="603" ht="14.25" customHeight="1">
      <c r="A603" s="70"/>
      <c r="B603" s="70"/>
      <c r="C603" s="70"/>
      <c r="D603" s="70"/>
      <c r="E603" s="5"/>
      <c r="F603" s="70"/>
      <c r="G603" s="70"/>
      <c r="H603" s="70"/>
      <c r="I603" s="70"/>
      <c r="J603" s="70"/>
      <c r="K603" s="70"/>
      <c r="L603" s="70"/>
      <c r="M603" s="70"/>
      <c r="N603" s="70"/>
      <c r="O603" s="70"/>
      <c r="P603" s="70"/>
      <c r="Q603" s="70"/>
      <c r="R603" s="70"/>
      <c r="S603" s="70"/>
      <c r="T603" s="70"/>
      <c r="U603" s="70"/>
      <c r="V603" s="70"/>
      <c r="W603" s="70"/>
    </row>
    <row r="604" ht="14.25" customHeight="1">
      <c r="A604" s="70"/>
      <c r="B604" s="70"/>
      <c r="C604" s="70"/>
      <c r="D604" s="70"/>
      <c r="E604" s="5"/>
      <c r="F604" s="70"/>
      <c r="G604" s="70"/>
      <c r="H604" s="70"/>
      <c r="I604" s="70"/>
      <c r="J604" s="70"/>
      <c r="K604" s="70"/>
      <c r="L604" s="70"/>
      <c r="M604" s="70"/>
      <c r="N604" s="70"/>
      <c r="O604" s="70"/>
      <c r="P604" s="70"/>
      <c r="Q604" s="70"/>
      <c r="R604" s="70"/>
      <c r="S604" s="70"/>
      <c r="T604" s="70"/>
      <c r="U604" s="70"/>
      <c r="V604" s="70"/>
      <c r="W604" s="70"/>
    </row>
    <row r="605" ht="14.25" customHeight="1">
      <c r="A605" s="70"/>
      <c r="B605" s="70"/>
      <c r="C605" s="70"/>
      <c r="D605" s="70"/>
      <c r="E605" s="5"/>
      <c r="F605" s="70"/>
      <c r="G605" s="70"/>
      <c r="H605" s="70"/>
      <c r="I605" s="70"/>
      <c r="J605" s="70"/>
      <c r="K605" s="70"/>
      <c r="L605" s="70"/>
      <c r="M605" s="70"/>
      <c r="N605" s="70"/>
      <c r="O605" s="70"/>
      <c r="P605" s="70"/>
      <c r="Q605" s="70"/>
      <c r="R605" s="70"/>
      <c r="S605" s="70"/>
      <c r="T605" s="70"/>
      <c r="U605" s="70"/>
      <c r="V605" s="70"/>
      <c r="W605" s="70"/>
    </row>
    <row r="606" ht="14.25" customHeight="1">
      <c r="A606" s="70"/>
      <c r="B606" s="70"/>
      <c r="C606" s="70"/>
      <c r="D606" s="70"/>
      <c r="E606" s="5"/>
      <c r="F606" s="70"/>
      <c r="G606" s="70"/>
      <c r="H606" s="70"/>
      <c r="I606" s="70"/>
      <c r="J606" s="70"/>
      <c r="K606" s="70"/>
      <c r="L606" s="70"/>
      <c r="M606" s="70"/>
      <c r="N606" s="70"/>
      <c r="O606" s="70"/>
      <c r="P606" s="70"/>
      <c r="Q606" s="70"/>
      <c r="R606" s="70"/>
      <c r="S606" s="70"/>
      <c r="T606" s="70"/>
      <c r="U606" s="70"/>
      <c r="V606" s="70"/>
      <c r="W606" s="70"/>
    </row>
    <row r="607" ht="14.25" customHeight="1">
      <c r="A607" s="70"/>
      <c r="B607" s="70"/>
      <c r="C607" s="70"/>
      <c r="D607" s="70"/>
      <c r="E607" s="5"/>
      <c r="F607" s="70"/>
      <c r="G607" s="70"/>
      <c r="H607" s="70"/>
      <c r="I607" s="70"/>
      <c r="J607" s="70"/>
      <c r="K607" s="70"/>
      <c r="L607" s="70"/>
      <c r="M607" s="70"/>
      <c r="N607" s="70"/>
      <c r="O607" s="70"/>
      <c r="P607" s="70"/>
      <c r="Q607" s="70"/>
      <c r="R607" s="70"/>
      <c r="S607" s="70"/>
      <c r="T607" s="70"/>
      <c r="U607" s="70"/>
      <c r="V607" s="70"/>
      <c r="W607" s="70"/>
    </row>
    <row r="608" ht="14.25" customHeight="1">
      <c r="A608" s="70"/>
      <c r="B608" s="70"/>
      <c r="C608" s="70"/>
      <c r="D608" s="70"/>
      <c r="E608" s="5"/>
      <c r="F608" s="70"/>
      <c r="G608" s="70"/>
      <c r="H608" s="70"/>
      <c r="I608" s="70"/>
      <c r="J608" s="70"/>
      <c r="K608" s="70"/>
      <c r="L608" s="70"/>
      <c r="M608" s="70"/>
      <c r="N608" s="70"/>
      <c r="O608" s="70"/>
      <c r="P608" s="70"/>
      <c r="Q608" s="70"/>
      <c r="R608" s="70"/>
      <c r="S608" s="70"/>
      <c r="T608" s="70"/>
      <c r="U608" s="70"/>
      <c r="V608" s="70"/>
      <c r="W608" s="70"/>
    </row>
    <row r="609" ht="14.25" customHeight="1">
      <c r="A609" s="70"/>
      <c r="B609" s="70"/>
      <c r="C609" s="70"/>
      <c r="D609" s="70"/>
      <c r="E609" s="5"/>
      <c r="F609" s="70"/>
      <c r="G609" s="70"/>
      <c r="H609" s="70"/>
      <c r="I609" s="70"/>
      <c r="J609" s="70"/>
      <c r="K609" s="70"/>
      <c r="L609" s="70"/>
      <c r="M609" s="70"/>
      <c r="N609" s="70"/>
      <c r="O609" s="70"/>
      <c r="P609" s="70"/>
      <c r="Q609" s="70"/>
      <c r="R609" s="70"/>
      <c r="S609" s="70"/>
      <c r="T609" s="70"/>
      <c r="U609" s="70"/>
      <c r="V609" s="70"/>
      <c r="W609" s="70"/>
    </row>
    <row r="610" ht="14.25" customHeight="1">
      <c r="A610" s="70"/>
      <c r="B610" s="70"/>
      <c r="C610" s="70"/>
      <c r="D610" s="70"/>
      <c r="E610" s="5"/>
      <c r="F610" s="70"/>
      <c r="G610" s="70"/>
      <c r="H610" s="70"/>
      <c r="I610" s="70"/>
      <c r="J610" s="70"/>
      <c r="K610" s="70"/>
      <c r="L610" s="70"/>
      <c r="M610" s="70"/>
      <c r="N610" s="70"/>
      <c r="O610" s="70"/>
      <c r="P610" s="70"/>
      <c r="Q610" s="70"/>
      <c r="R610" s="70"/>
      <c r="S610" s="70"/>
      <c r="T610" s="70"/>
      <c r="U610" s="70"/>
      <c r="V610" s="70"/>
      <c r="W610" s="70"/>
    </row>
    <row r="611" ht="14.25" customHeight="1">
      <c r="A611" s="70"/>
      <c r="B611" s="70"/>
      <c r="C611" s="70"/>
      <c r="D611" s="70"/>
      <c r="E611" s="5"/>
      <c r="F611" s="70"/>
      <c r="G611" s="70"/>
      <c r="H611" s="70"/>
      <c r="I611" s="70"/>
      <c r="J611" s="70"/>
      <c r="K611" s="70"/>
      <c r="L611" s="70"/>
      <c r="M611" s="70"/>
      <c r="N611" s="70"/>
      <c r="O611" s="70"/>
      <c r="P611" s="70"/>
      <c r="Q611" s="70"/>
      <c r="R611" s="70"/>
      <c r="S611" s="70"/>
      <c r="T611" s="70"/>
      <c r="U611" s="70"/>
      <c r="V611" s="70"/>
      <c r="W611" s="70"/>
    </row>
    <row r="612" ht="14.25" customHeight="1">
      <c r="A612" s="70"/>
      <c r="B612" s="70"/>
      <c r="C612" s="70"/>
      <c r="D612" s="70"/>
      <c r="E612" s="5"/>
      <c r="F612" s="70"/>
      <c r="G612" s="70"/>
      <c r="H612" s="70"/>
      <c r="I612" s="70"/>
      <c r="J612" s="70"/>
      <c r="K612" s="70"/>
      <c r="L612" s="70"/>
      <c r="M612" s="70"/>
      <c r="N612" s="70"/>
      <c r="O612" s="70"/>
      <c r="P612" s="70"/>
      <c r="Q612" s="70"/>
      <c r="R612" s="70"/>
      <c r="S612" s="70"/>
      <c r="T612" s="70"/>
      <c r="U612" s="70"/>
      <c r="V612" s="70"/>
      <c r="W612" s="70"/>
    </row>
    <row r="613" ht="14.25" customHeight="1">
      <c r="A613" s="70"/>
      <c r="B613" s="70"/>
      <c r="C613" s="70"/>
      <c r="D613" s="70"/>
      <c r="E613" s="5"/>
      <c r="F613" s="70"/>
      <c r="G613" s="70"/>
      <c r="H613" s="70"/>
      <c r="I613" s="70"/>
      <c r="J613" s="70"/>
      <c r="K613" s="70"/>
      <c r="L613" s="70"/>
      <c r="M613" s="70"/>
      <c r="N613" s="70"/>
      <c r="O613" s="70"/>
      <c r="P613" s="70"/>
      <c r="Q613" s="70"/>
      <c r="R613" s="70"/>
      <c r="S613" s="70"/>
      <c r="T613" s="70"/>
      <c r="U613" s="70"/>
      <c r="V613" s="70"/>
      <c r="W613" s="70"/>
    </row>
    <row r="614" ht="14.25" customHeight="1">
      <c r="A614" s="70"/>
      <c r="B614" s="70"/>
      <c r="C614" s="70"/>
      <c r="D614" s="70"/>
      <c r="E614" s="5"/>
      <c r="F614" s="70"/>
      <c r="G614" s="70"/>
      <c r="H614" s="70"/>
      <c r="I614" s="70"/>
      <c r="J614" s="70"/>
      <c r="K614" s="70"/>
      <c r="L614" s="70"/>
      <c r="M614" s="70"/>
      <c r="N614" s="70"/>
      <c r="O614" s="70"/>
      <c r="P614" s="70"/>
      <c r="Q614" s="70"/>
      <c r="R614" s="70"/>
      <c r="S614" s="70"/>
      <c r="T614" s="70"/>
      <c r="U614" s="70"/>
      <c r="V614" s="70"/>
      <c r="W614" s="70"/>
    </row>
    <row r="615" ht="14.25" customHeight="1">
      <c r="A615" s="70"/>
      <c r="B615" s="70"/>
      <c r="C615" s="70"/>
      <c r="D615" s="70"/>
      <c r="E615" s="5"/>
      <c r="F615" s="70"/>
      <c r="G615" s="70"/>
      <c r="H615" s="70"/>
      <c r="I615" s="70"/>
      <c r="J615" s="70"/>
      <c r="K615" s="70"/>
      <c r="L615" s="70"/>
      <c r="M615" s="70"/>
      <c r="N615" s="70"/>
      <c r="O615" s="70"/>
      <c r="P615" s="70"/>
      <c r="Q615" s="70"/>
      <c r="R615" s="70"/>
      <c r="S615" s="70"/>
      <c r="T615" s="70"/>
      <c r="U615" s="70"/>
      <c r="V615" s="70"/>
      <c r="W615" s="70"/>
    </row>
    <row r="616" ht="14.25" customHeight="1">
      <c r="A616" s="70"/>
      <c r="B616" s="70"/>
      <c r="C616" s="70"/>
      <c r="D616" s="70"/>
      <c r="E616" s="5"/>
      <c r="F616" s="70"/>
      <c r="G616" s="70"/>
      <c r="H616" s="70"/>
      <c r="I616" s="70"/>
      <c r="J616" s="70"/>
      <c r="K616" s="70"/>
      <c r="L616" s="70"/>
      <c r="M616" s="70"/>
      <c r="N616" s="70"/>
      <c r="O616" s="70"/>
      <c r="P616" s="70"/>
      <c r="Q616" s="70"/>
      <c r="R616" s="70"/>
      <c r="S616" s="70"/>
      <c r="T616" s="70"/>
      <c r="U616" s="70"/>
      <c r="V616" s="70"/>
      <c r="W616" s="70"/>
    </row>
    <row r="617" ht="14.25" customHeight="1">
      <c r="A617" s="70"/>
      <c r="B617" s="70"/>
      <c r="C617" s="70"/>
      <c r="D617" s="70"/>
      <c r="E617" s="5"/>
      <c r="F617" s="70"/>
      <c r="G617" s="70"/>
      <c r="H617" s="70"/>
      <c r="I617" s="70"/>
      <c r="J617" s="70"/>
      <c r="K617" s="70"/>
      <c r="L617" s="70"/>
      <c r="M617" s="70"/>
      <c r="N617" s="70"/>
      <c r="O617" s="70"/>
      <c r="P617" s="70"/>
      <c r="Q617" s="70"/>
      <c r="R617" s="70"/>
      <c r="S617" s="70"/>
      <c r="T617" s="70"/>
      <c r="U617" s="70"/>
      <c r="V617" s="70"/>
      <c r="W617" s="70"/>
    </row>
    <row r="618" ht="14.25" customHeight="1">
      <c r="A618" s="70"/>
      <c r="B618" s="70"/>
      <c r="C618" s="70"/>
      <c r="D618" s="70"/>
      <c r="E618" s="5"/>
      <c r="F618" s="70"/>
      <c r="G618" s="70"/>
      <c r="H618" s="70"/>
      <c r="I618" s="70"/>
      <c r="J618" s="70"/>
      <c r="K618" s="70"/>
      <c r="L618" s="70"/>
      <c r="M618" s="70"/>
      <c r="N618" s="70"/>
      <c r="O618" s="70"/>
      <c r="P618" s="70"/>
      <c r="Q618" s="70"/>
      <c r="R618" s="70"/>
      <c r="S618" s="70"/>
      <c r="T618" s="70"/>
      <c r="U618" s="70"/>
      <c r="V618" s="70"/>
      <c r="W618" s="70"/>
    </row>
    <row r="619" ht="14.25" customHeight="1">
      <c r="A619" s="70"/>
      <c r="B619" s="70"/>
      <c r="C619" s="70"/>
      <c r="D619" s="70"/>
      <c r="E619" s="5"/>
      <c r="F619" s="70"/>
      <c r="G619" s="70"/>
      <c r="H619" s="70"/>
      <c r="I619" s="70"/>
      <c r="J619" s="70"/>
      <c r="K619" s="70"/>
      <c r="L619" s="70"/>
      <c r="M619" s="70"/>
      <c r="N619" s="70"/>
      <c r="O619" s="70"/>
      <c r="P619" s="70"/>
      <c r="Q619" s="70"/>
      <c r="R619" s="70"/>
      <c r="S619" s="70"/>
      <c r="T619" s="70"/>
      <c r="U619" s="70"/>
      <c r="V619" s="70"/>
      <c r="W619" s="70"/>
    </row>
    <row r="620" ht="14.25" customHeight="1">
      <c r="A620" s="70"/>
      <c r="B620" s="70"/>
      <c r="C620" s="70"/>
      <c r="D620" s="70"/>
      <c r="E620" s="5"/>
      <c r="F620" s="70"/>
      <c r="G620" s="70"/>
      <c r="H620" s="70"/>
      <c r="I620" s="70"/>
      <c r="J620" s="70"/>
      <c r="K620" s="70"/>
      <c r="L620" s="70"/>
      <c r="M620" s="70"/>
      <c r="N620" s="70"/>
      <c r="O620" s="70"/>
      <c r="P620" s="70"/>
      <c r="Q620" s="70"/>
      <c r="R620" s="70"/>
      <c r="S620" s="70"/>
      <c r="T620" s="70"/>
      <c r="U620" s="70"/>
      <c r="V620" s="70"/>
      <c r="W620" s="70"/>
    </row>
    <row r="621" ht="14.25" customHeight="1">
      <c r="A621" s="70"/>
      <c r="B621" s="70"/>
      <c r="C621" s="70"/>
      <c r="D621" s="70"/>
      <c r="E621" s="5"/>
      <c r="F621" s="70"/>
      <c r="G621" s="70"/>
      <c r="H621" s="70"/>
      <c r="I621" s="70"/>
      <c r="J621" s="70"/>
      <c r="K621" s="70"/>
      <c r="L621" s="70"/>
      <c r="M621" s="70"/>
      <c r="N621" s="70"/>
      <c r="O621" s="70"/>
      <c r="P621" s="70"/>
      <c r="Q621" s="70"/>
      <c r="R621" s="70"/>
      <c r="S621" s="70"/>
      <c r="T621" s="70"/>
      <c r="U621" s="70"/>
      <c r="V621" s="70"/>
      <c r="W621" s="70"/>
    </row>
    <row r="622" ht="14.25" customHeight="1">
      <c r="A622" s="70"/>
      <c r="B622" s="70"/>
      <c r="C622" s="70"/>
      <c r="D622" s="70"/>
      <c r="E622" s="5"/>
      <c r="F622" s="70"/>
      <c r="G622" s="70"/>
      <c r="H622" s="70"/>
      <c r="I622" s="70"/>
      <c r="J622" s="70"/>
      <c r="K622" s="70"/>
      <c r="L622" s="70"/>
      <c r="M622" s="70"/>
      <c r="N622" s="70"/>
      <c r="O622" s="70"/>
      <c r="P622" s="70"/>
      <c r="Q622" s="70"/>
      <c r="R622" s="70"/>
      <c r="S622" s="70"/>
      <c r="T622" s="70"/>
      <c r="U622" s="70"/>
      <c r="V622" s="70"/>
      <c r="W622" s="70"/>
    </row>
    <row r="623" ht="14.25" customHeight="1">
      <c r="A623" s="70"/>
      <c r="B623" s="70"/>
      <c r="C623" s="70"/>
      <c r="D623" s="70"/>
      <c r="E623" s="5"/>
      <c r="F623" s="70"/>
      <c r="G623" s="70"/>
      <c r="H623" s="70"/>
      <c r="I623" s="70"/>
      <c r="J623" s="70"/>
      <c r="K623" s="70"/>
      <c r="L623" s="70"/>
      <c r="M623" s="70"/>
      <c r="N623" s="70"/>
      <c r="O623" s="70"/>
      <c r="P623" s="70"/>
      <c r="Q623" s="70"/>
      <c r="R623" s="70"/>
      <c r="S623" s="70"/>
      <c r="T623" s="70"/>
      <c r="U623" s="70"/>
      <c r="V623" s="70"/>
      <c r="W623" s="70"/>
    </row>
    <row r="624" ht="14.25" customHeight="1">
      <c r="A624" s="70"/>
      <c r="B624" s="70"/>
      <c r="C624" s="70"/>
      <c r="D624" s="70"/>
      <c r="E624" s="5"/>
      <c r="F624" s="70"/>
      <c r="G624" s="70"/>
      <c r="H624" s="70"/>
      <c r="I624" s="70"/>
      <c r="J624" s="70"/>
      <c r="K624" s="70"/>
      <c r="L624" s="70"/>
      <c r="M624" s="70"/>
      <c r="N624" s="70"/>
      <c r="O624" s="70"/>
      <c r="P624" s="70"/>
      <c r="Q624" s="70"/>
      <c r="R624" s="70"/>
      <c r="S624" s="70"/>
      <c r="T624" s="70"/>
      <c r="U624" s="70"/>
      <c r="V624" s="70"/>
      <c r="W624" s="70"/>
    </row>
    <row r="625" ht="14.25" customHeight="1">
      <c r="A625" s="70"/>
      <c r="B625" s="70"/>
      <c r="C625" s="70"/>
      <c r="D625" s="70"/>
      <c r="E625" s="5"/>
      <c r="F625" s="70"/>
      <c r="G625" s="70"/>
      <c r="H625" s="70"/>
      <c r="I625" s="70"/>
      <c r="J625" s="70"/>
      <c r="K625" s="70"/>
      <c r="L625" s="70"/>
      <c r="M625" s="70"/>
      <c r="N625" s="70"/>
      <c r="O625" s="70"/>
      <c r="P625" s="70"/>
      <c r="Q625" s="70"/>
      <c r="R625" s="70"/>
      <c r="S625" s="70"/>
      <c r="T625" s="70"/>
      <c r="U625" s="70"/>
      <c r="V625" s="70"/>
      <c r="W625" s="70"/>
    </row>
    <row r="626" ht="14.25" customHeight="1">
      <c r="A626" s="70"/>
      <c r="B626" s="70"/>
      <c r="C626" s="70"/>
      <c r="D626" s="70"/>
      <c r="E626" s="5"/>
      <c r="F626" s="70"/>
      <c r="G626" s="70"/>
      <c r="H626" s="70"/>
      <c r="I626" s="70"/>
      <c r="J626" s="70"/>
      <c r="K626" s="70"/>
      <c r="L626" s="70"/>
      <c r="M626" s="70"/>
      <c r="N626" s="70"/>
      <c r="O626" s="70"/>
      <c r="P626" s="70"/>
      <c r="Q626" s="70"/>
      <c r="R626" s="70"/>
      <c r="S626" s="70"/>
      <c r="T626" s="70"/>
      <c r="U626" s="70"/>
      <c r="V626" s="70"/>
      <c r="W626" s="70"/>
    </row>
    <row r="627" ht="14.25" customHeight="1">
      <c r="A627" s="70"/>
      <c r="B627" s="70"/>
      <c r="C627" s="70"/>
      <c r="D627" s="70"/>
      <c r="E627" s="5"/>
      <c r="F627" s="70"/>
      <c r="G627" s="70"/>
      <c r="H627" s="70"/>
      <c r="I627" s="70"/>
      <c r="J627" s="70"/>
      <c r="K627" s="70"/>
      <c r="L627" s="70"/>
      <c r="M627" s="70"/>
      <c r="N627" s="70"/>
      <c r="O627" s="70"/>
      <c r="P627" s="70"/>
      <c r="Q627" s="70"/>
      <c r="R627" s="70"/>
      <c r="S627" s="70"/>
      <c r="T627" s="70"/>
      <c r="U627" s="70"/>
      <c r="V627" s="70"/>
      <c r="W627" s="70"/>
    </row>
    <row r="628" ht="14.25" customHeight="1">
      <c r="A628" s="70"/>
      <c r="B628" s="70"/>
      <c r="C628" s="70"/>
      <c r="D628" s="70"/>
      <c r="E628" s="5"/>
      <c r="F628" s="70"/>
      <c r="G628" s="70"/>
      <c r="H628" s="70"/>
      <c r="I628" s="70"/>
      <c r="J628" s="70"/>
      <c r="K628" s="70"/>
      <c r="L628" s="70"/>
      <c r="M628" s="70"/>
      <c r="N628" s="70"/>
      <c r="O628" s="70"/>
      <c r="P628" s="70"/>
      <c r="Q628" s="70"/>
      <c r="R628" s="70"/>
      <c r="S628" s="70"/>
      <c r="T628" s="70"/>
      <c r="U628" s="70"/>
      <c r="V628" s="70"/>
      <c r="W628" s="70"/>
    </row>
    <row r="629" ht="14.25" customHeight="1">
      <c r="A629" s="70"/>
      <c r="B629" s="70"/>
      <c r="C629" s="70"/>
      <c r="D629" s="70"/>
      <c r="E629" s="5"/>
      <c r="F629" s="70"/>
      <c r="G629" s="70"/>
      <c r="H629" s="70"/>
      <c r="I629" s="70"/>
      <c r="J629" s="70"/>
      <c r="K629" s="70"/>
      <c r="L629" s="70"/>
      <c r="M629" s="70"/>
      <c r="N629" s="70"/>
      <c r="O629" s="70"/>
      <c r="P629" s="70"/>
      <c r="Q629" s="70"/>
      <c r="R629" s="70"/>
      <c r="S629" s="70"/>
      <c r="T629" s="70"/>
      <c r="U629" s="70"/>
      <c r="V629" s="70"/>
      <c r="W629" s="70"/>
    </row>
    <row r="630" ht="14.25" customHeight="1">
      <c r="A630" s="70"/>
      <c r="B630" s="70"/>
      <c r="C630" s="70"/>
      <c r="D630" s="70"/>
      <c r="E630" s="5"/>
      <c r="F630" s="70"/>
      <c r="G630" s="70"/>
      <c r="H630" s="70"/>
      <c r="I630" s="70"/>
      <c r="J630" s="70"/>
      <c r="K630" s="70"/>
      <c r="L630" s="70"/>
      <c r="M630" s="70"/>
      <c r="N630" s="70"/>
      <c r="O630" s="70"/>
      <c r="P630" s="70"/>
      <c r="Q630" s="70"/>
      <c r="R630" s="70"/>
      <c r="S630" s="70"/>
      <c r="T630" s="70"/>
      <c r="U630" s="70"/>
      <c r="V630" s="70"/>
      <c r="W630" s="70"/>
    </row>
    <row r="631" ht="14.25" customHeight="1">
      <c r="A631" s="70"/>
      <c r="B631" s="70"/>
      <c r="C631" s="70"/>
      <c r="D631" s="70"/>
      <c r="E631" s="5"/>
      <c r="F631" s="70"/>
      <c r="G631" s="70"/>
      <c r="H631" s="70"/>
      <c r="I631" s="70"/>
      <c r="J631" s="70"/>
      <c r="K631" s="70"/>
      <c r="L631" s="70"/>
      <c r="M631" s="70"/>
      <c r="N631" s="70"/>
      <c r="O631" s="70"/>
      <c r="P631" s="70"/>
      <c r="Q631" s="70"/>
      <c r="R631" s="70"/>
      <c r="S631" s="70"/>
      <c r="T631" s="70"/>
      <c r="U631" s="70"/>
      <c r="V631" s="70"/>
      <c r="W631" s="70"/>
    </row>
    <row r="632" ht="14.25" customHeight="1">
      <c r="A632" s="70"/>
      <c r="B632" s="70"/>
      <c r="C632" s="70"/>
      <c r="D632" s="70"/>
      <c r="E632" s="5"/>
      <c r="F632" s="70"/>
      <c r="G632" s="70"/>
      <c r="H632" s="70"/>
      <c r="I632" s="70"/>
      <c r="J632" s="70"/>
      <c r="K632" s="70"/>
      <c r="L632" s="70"/>
      <c r="M632" s="70"/>
      <c r="N632" s="70"/>
      <c r="O632" s="70"/>
      <c r="P632" s="70"/>
      <c r="Q632" s="70"/>
      <c r="R632" s="70"/>
      <c r="S632" s="70"/>
      <c r="T632" s="70"/>
      <c r="U632" s="70"/>
      <c r="V632" s="70"/>
      <c r="W632" s="70"/>
    </row>
    <row r="633" ht="14.25" customHeight="1">
      <c r="A633" s="70"/>
      <c r="B633" s="70"/>
      <c r="C633" s="70"/>
      <c r="D633" s="70"/>
      <c r="E633" s="5"/>
      <c r="F633" s="70"/>
      <c r="G633" s="70"/>
      <c r="H633" s="70"/>
      <c r="I633" s="70"/>
      <c r="J633" s="70"/>
      <c r="K633" s="70"/>
      <c r="L633" s="70"/>
      <c r="M633" s="70"/>
      <c r="N633" s="70"/>
      <c r="O633" s="70"/>
      <c r="P633" s="70"/>
      <c r="Q633" s="70"/>
      <c r="R633" s="70"/>
      <c r="S633" s="70"/>
      <c r="T633" s="70"/>
      <c r="U633" s="70"/>
      <c r="V633" s="70"/>
      <c r="W633" s="70"/>
    </row>
    <row r="634" ht="14.25" customHeight="1">
      <c r="A634" s="70"/>
      <c r="B634" s="70"/>
      <c r="C634" s="70"/>
      <c r="D634" s="70"/>
      <c r="E634" s="5"/>
      <c r="F634" s="70"/>
      <c r="G634" s="70"/>
      <c r="H634" s="70"/>
      <c r="I634" s="70"/>
      <c r="J634" s="70"/>
      <c r="K634" s="70"/>
      <c r="L634" s="70"/>
      <c r="M634" s="70"/>
      <c r="N634" s="70"/>
      <c r="O634" s="70"/>
      <c r="P634" s="70"/>
      <c r="Q634" s="70"/>
      <c r="R634" s="70"/>
      <c r="S634" s="70"/>
      <c r="T634" s="70"/>
      <c r="U634" s="70"/>
      <c r="V634" s="70"/>
      <c r="W634" s="70"/>
    </row>
    <row r="635" ht="14.25" customHeight="1">
      <c r="A635" s="70"/>
      <c r="B635" s="70"/>
      <c r="C635" s="70"/>
      <c r="D635" s="70"/>
      <c r="E635" s="5"/>
      <c r="F635" s="70"/>
      <c r="G635" s="70"/>
      <c r="H635" s="70"/>
      <c r="I635" s="70"/>
      <c r="J635" s="70"/>
      <c r="K635" s="70"/>
      <c r="L635" s="70"/>
      <c r="M635" s="70"/>
      <c r="N635" s="70"/>
      <c r="O635" s="70"/>
      <c r="P635" s="70"/>
      <c r="Q635" s="70"/>
      <c r="R635" s="70"/>
      <c r="S635" s="70"/>
      <c r="T635" s="70"/>
      <c r="U635" s="70"/>
      <c r="V635" s="70"/>
      <c r="W635" s="70"/>
    </row>
    <row r="636" ht="14.25" customHeight="1">
      <c r="A636" s="70"/>
      <c r="B636" s="70"/>
      <c r="C636" s="70"/>
      <c r="D636" s="70"/>
      <c r="E636" s="5"/>
      <c r="F636" s="70"/>
      <c r="G636" s="70"/>
      <c r="H636" s="70"/>
      <c r="I636" s="70"/>
      <c r="J636" s="70"/>
      <c r="K636" s="70"/>
      <c r="L636" s="70"/>
      <c r="M636" s="70"/>
      <c r="N636" s="70"/>
      <c r="O636" s="70"/>
      <c r="P636" s="70"/>
      <c r="Q636" s="70"/>
      <c r="R636" s="70"/>
      <c r="S636" s="70"/>
      <c r="T636" s="70"/>
      <c r="U636" s="70"/>
      <c r="V636" s="70"/>
      <c r="W636" s="70"/>
    </row>
    <row r="637" ht="14.25" customHeight="1">
      <c r="A637" s="70"/>
      <c r="B637" s="70"/>
      <c r="C637" s="70"/>
      <c r="D637" s="70"/>
      <c r="E637" s="5"/>
      <c r="F637" s="70"/>
      <c r="G637" s="70"/>
      <c r="H637" s="70"/>
      <c r="I637" s="70"/>
      <c r="J637" s="70"/>
      <c r="K637" s="70"/>
      <c r="L637" s="70"/>
      <c r="M637" s="70"/>
      <c r="N637" s="70"/>
      <c r="O637" s="70"/>
      <c r="P637" s="70"/>
      <c r="Q637" s="70"/>
      <c r="R637" s="70"/>
      <c r="S637" s="70"/>
      <c r="T637" s="70"/>
      <c r="U637" s="70"/>
      <c r="V637" s="70"/>
      <c r="W637" s="70"/>
    </row>
    <row r="638" ht="14.25" customHeight="1">
      <c r="A638" s="70"/>
      <c r="B638" s="70"/>
      <c r="C638" s="70"/>
      <c r="D638" s="70"/>
      <c r="E638" s="5"/>
      <c r="F638" s="70"/>
      <c r="G638" s="70"/>
      <c r="H638" s="70"/>
      <c r="I638" s="70"/>
      <c r="J638" s="70"/>
      <c r="K638" s="70"/>
      <c r="L638" s="70"/>
      <c r="M638" s="70"/>
      <c r="N638" s="70"/>
      <c r="O638" s="70"/>
      <c r="P638" s="70"/>
      <c r="Q638" s="70"/>
      <c r="R638" s="70"/>
      <c r="S638" s="70"/>
      <c r="T638" s="70"/>
      <c r="U638" s="70"/>
      <c r="V638" s="70"/>
      <c r="W638" s="70"/>
    </row>
    <row r="639" ht="14.25" customHeight="1">
      <c r="A639" s="70"/>
      <c r="B639" s="70"/>
      <c r="C639" s="70"/>
      <c r="D639" s="70"/>
      <c r="E639" s="5"/>
      <c r="F639" s="70"/>
      <c r="G639" s="70"/>
      <c r="H639" s="70"/>
      <c r="I639" s="70"/>
      <c r="J639" s="70"/>
      <c r="K639" s="70"/>
      <c r="L639" s="70"/>
      <c r="M639" s="70"/>
      <c r="N639" s="70"/>
      <c r="O639" s="70"/>
      <c r="P639" s="70"/>
      <c r="Q639" s="70"/>
      <c r="R639" s="70"/>
      <c r="S639" s="70"/>
      <c r="T639" s="70"/>
      <c r="U639" s="70"/>
      <c r="V639" s="70"/>
      <c r="W639" s="70"/>
    </row>
    <row r="640" ht="14.25" customHeight="1">
      <c r="A640" s="70"/>
      <c r="B640" s="70"/>
      <c r="C640" s="70"/>
      <c r="D640" s="70"/>
      <c r="E640" s="5"/>
      <c r="F640" s="70"/>
      <c r="G640" s="70"/>
      <c r="H640" s="70"/>
      <c r="I640" s="70"/>
      <c r="J640" s="70"/>
      <c r="K640" s="70"/>
      <c r="L640" s="70"/>
      <c r="M640" s="70"/>
      <c r="N640" s="70"/>
      <c r="O640" s="70"/>
      <c r="P640" s="70"/>
      <c r="Q640" s="70"/>
      <c r="R640" s="70"/>
      <c r="S640" s="70"/>
      <c r="T640" s="70"/>
      <c r="U640" s="70"/>
      <c r="V640" s="70"/>
      <c r="W640" s="70"/>
    </row>
    <row r="641" ht="14.25" customHeight="1">
      <c r="A641" s="70"/>
      <c r="B641" s="70"/>
      <c r="C641" s="70"/>
      <c r="D641" s="70"/>
      <c r="E641" s="5"/>
      <c r="F641" s="70"/>
      <c r="G641" s="70"/>
      <c r="H641" s="70"/>
      <c r="I641" s="70"/>
      <c r="J641" s="70"/>
      <c r="K641" s="70"/>
      <c r="L641" s="70"/>
      <c r="M641" s="70"/>
      <c r="N641" s="70"/>
      <c r="O641" s="70"/>
      <c r="P641" s="70"/>
      <c r="Q641" s="70"/>
      <c r="R641" s="70"/>
      <c r="S641" s="70"/>
      <c r="T641" s="70"/>
      <c r="U641" s="70"/>
      <c r="V641" s="70"/>
      <c r="W641" s="70"/>
    </row>
    <row r="642" ht="14.25" customHeight="1">
      <c r="A642" s="70"/>
      <c r="B642" s="70"/>
      <c r="C642" s="70"/>
      <c r="D642" s="70"/>
      <c r="E642" s="5"/>
      <c r="F642" s="70"/>
      <c r="G642" s="70"/>
      <c r="H642" s="70"/>
      <c r="I642" s="70"/>
      <c r="J642" s="70"/>
      <c r="K642" s="70"/>
      <c r="L642" s="70"/>
      <c r="M642" s="70"/>
      <c r="N642" s="70"/>
      <c r="O642" s="70"/>
      <c r="P642" s="70"/>
      <c r="Q642" s="70"/>
      <c r="R642" s="70"/>
      <c r="S642" s="70"/>
      <c r="T642" s="70"/>
      <c r="U642" s="70"/>
      <c r="V642" s="70"/>
      <c r="W642" s="70"/>
    </row>
    <row r="643" ht="14.25" customHeight="1">
      <c r="A643" s="70"/>
      <c r="B643" s="70"/>
      <c r="C643" s="70"/>
      <c r="D643" s="70"/>
      <c r="E643" s="5"/>
      <c r="F643" s="70"/>
      <c r="G643" s="70"/>
      <c r="H643" s="70"/>
      <c r="I643" s="70"/>
      <c r="J643" s="70"/>
      <c r="K643" s="70"/>
      <c r="L643" s="70"/>
      <c r="M643" s="70"/>
      <c r="N643" s="70"/>
      <c r="O643" s="70"/>
      <c r="P643" s="70"/>
      <c r="Q643" s="70"/>
      <c r="R643" s="70"/>
      <c r="S643" s="70"/>
      <c r="T643" s="70"/>
      <c r="U643" s="70"/>
      <c r="V643" s="70"/>
      <c r="W643" s="70"/>
    </row>
    <row r="644" ht="14.25" customHeight="1">
      <c r="A644" s="70"/>
      <c r="B644" s="70"/>
      <c r="C644" s="70"/>
      <c r="D644" s="70"/>
      <c r="E644" s="5"/>
      <c r="F644" s="70"/>
      <c r="G644" s="70"/>
      <c r="H644" s="70"/>
      <c r="I644" s="70"/>
      <c r="J644" s="70"/>
      <c r="K644" s="70"/>
      <c r="L644" s="70"/>
      <c r="M644" s="70"/>
      <c r="N644" s="70"/>
      <c r="O644" s="70"/>
      <c r="P644" s="70"/>
      <c r="Q644" s="70"/>
      <c r="R644" s="70"/>
      <c r="S644" s="70"/>
      <c r="T644" s="70"/>
      <c r="U644" s="70"/>
      <c r="V644" s="70"/>
      <c r="W644" s="70"/>
    </row>
    <row r="645" ht="14.25" customHeight="1">
      <c r="A645" s="70"/>
      <c r="B645" s="70"/>
      <c r="C645" s="70"/>
      <c r="D645" s="70"/>
      <c r="E645" s="5"/>
      <c r="F645" s="70"/>
      <c r="G645" s="70"/>
      <c r="H645" s="70"/>
      <c r="I645" s="70"/>
      <c r="J645" s="70"/>
      <c r="K645" s="70"/>
      <c r="L645" s="70"/>
      <c r="M645" s="70"/>
      <c r="N645" s="70"/>
      <c r="O645" s="70"/>
      <c r="P645" s="70"/>
      <c r="Q645" s="70"/>
      <c r="R645" s="70"/>
      <c r="S645" s="70"/>
      <c r="T645" s="70"/>
      <c r="U645" s="70"/>
      <c r="V645" s="70"/>
      <c r="W645" s="70"/>
    </row>
    <row r="646" ht="14.25" customHeight="1">
      <c r="A646" s="70"/>
      <c r="B646" s="70"/>
      <c r="C646" s="70"/>
      <c r="D646" s="70"/>
      <c r="E646" s="5"/>
      <c r="F646" s="70"/>
      <c r="G646" s="70"/>
      <c r="H646" s="70"/>
      <c r="I646" s="70"/>
      <c r="J646" s="70"/>
      <c r="K646" s="70"/>
      <c r="L646" s="70"/>
      <c r="M646" s="70"/>
      <c r="N646" s="70"/>
      <c r="O646" s="70"/>
      <c r="P646" s="70"/>
      <c r="Q646" s="70"/>
      <c r="R646" s="70"/>
      <c r="S646" s="70"/>
      <c r="T646" s="70"/>
      <c r="U646" s="70"/>
      <c r="V646" s="70"/>
      <c r="W646" s="70"/>
    </row>
    <row r="647" ht="14.25" customHeight="1">
      <c r="A647" s="70"/>
      <c r="B647" s="70"/>
      <c r="C647" s="70"/>
      <c r="D647" s="70"/>
      <c r="E647" s="5"/>
      <c r="F647" s="70"/>
      <c r="G647" s="70"/>
      <c r="H647" s="70"/>
      <c r="I647" s="70"/>
      <c r="J647" s="70"/>
      <c r="K647" s="70"/>
      <c r="L647" s="70"/>
      <c r="M647" s="70"/>
      <c r="N647" s="70"/>
      <c r="O647" s="70"/>
      <c r="P647" s="70"/>
      <c r="Q647" s="70"/>
      <c r="R647" s="70"/>
      <c r="S647" s="70"/>
      <c r="T647" s="70"/>
      <c r="U647" s="70"/>
      <c r="V647" s="70"/>
      <c r="W647" s="70"/>
    </row>
    <row r="648" ht="14.25" customHeight="1">
      <c r="A648" s="70"/>
      <c r="B648" s="70"/>
      <c r="C648" s="70"/>
      <c r="D648" s="70"/>
      <c r="E648" s="5"/>
      <c r="F648" s="70"/>
      <c r="G648" s="70"/>
      <c r="H648" s="70"/>
      <c r="I648" s="70"/>
      <c r="J648" s="70"/>
      <c r="K648" s="70"/>
      <c r="L648" s="70"/>
      <c r="M648" s="70"/>
      <c r="N648" s="70"/>
      <c r="O648" s="70"/>
      <c r="P648" s="70"/>
      <c r="Q648" s="70"/>
      <c r="R648" s="70"/>
      <c r="S648" s="70"/>
      <c r="T648" s="70"/>
      <c r="U648" s="70"/>
      <c r="V648" s="70"/>
      <c r="W648" s="70"/>
    </row>
    <row r="649" ht="14.25" customHeight="1">
      <c r="A649" s="70"/>
      <c r="B649" s="70"/>
      <c r="C649" s="70"/>
      <c r="D649" s="70"/>
      <c r="E649" s="5"/>
      <c r="F649" s="70"/>
      <c r="G649" s="70"/>
      <c r="H649" s="70"/>
      <c r="I649" s="70"/>
      <c r="J649" s="70"/>
      <c r="K649" s="70"/>
      <c r="L649" s="70"/>
      <c r="M649" s="70"/>
      <c r="N649" s="70"/>
      <c r="O649" s="70"/>
      <c r="P649" s="70"/>
      <c r="Q649" s="70"/>
      <c r="R649" s="70"/>
      <c r="S649" s="70"/>
      <c r="T649" s="70"/>
      <c r="U649" s="70"/>
      <c r="V649" s="70"/>
      <c r="W649" s="70"/>
    </row>
    <row r="650" ht="14.25" customHeight="1">
      <c r="A650" s="70"/>
      <c r="B650" s="70"/>
      <c r="C650" s="70"/>
      <c r="D650" s="70"/>
      <c r="E650" s="5"/>
      <c r="F650" s="70"/>
      <c r="G650" s="70"/>
      <c r="H650" s="70"/>
      <c r="I650" s="70"/>
      <c r="J650" s="70"/>
      <c r="K650" s="70"/>
      <c r="L650" s="70"/>
      <c r="M650" s="70"/>
      <c r="N650" s="70"/>
      <c r="O650" s="70"/>
      <c r="P650" s="70"/>
      <c r="Q650" s="70"/>
      <c r="R650" s="70"/>
      <c r="S650" s="70"/>
      <c r="T650" s="70"/>
      <c r="U650" s="70"/>
      <c r="V650" s="70"/>
      <c r="W650" s="70"/>
    </row>
    <row r="651" ht="14.25" customHeight="1">
      <c r="A651" s="70"/>
      <c r="B651" s="70"/>
      <c r="C651" s="70"/>
      <c r="D651" s="70"/>
      <c r="E651" s="5"/>
      <c r="F651" s="70"/>
      <c r="G651" s="70"/>
      <c r="H651" s="70"/>
      <c r="I651" s="70"/>
      <c r="J651" s="70"/>
      <c r="K651" s="70"/>
      <c r="L651" s="70"/>
      <c r="M651" s="70"/>
      <c r="N651" s="70"/>
      <c r="O651" s="70"/>
      <c r="P651" s="70"/>
      <c r="Q651" s="70"/>
      <c r="R651" s="70"/>
      <c r="S651" s="70"/>
      <c r="T651" s="70"/>
      <c r="U651" s="70"/>
      <c r="V651" s="70"/>
      <c r="W651" s="70"/>
    </row>
    <row r="652" ht="14.25" customHeight="1">
      <c r="A652" s="70"/>
      <c r="B652" s="70"/>
      <c r="C652" s="70"/>
      <c r="D652" s="70"/>
      <c r="E652" s="5"/>
      <c r="F652" s="70"/>
      <c r="G652" s="70"/>
      <c r="H652" s="70"/>
      <c r="I652" s="70"/>
      <c r="J652" s="70"/>
      <c r="K652" s="70"/>
      <c r="L652" s="70"/>
      <c r="M652" s="70"/>
      <c r="N652" s="70"/>
      <c r="O652" s="70"/>
      <c r="P652" s="70"/>
      <c r="Q652" s="70"/>
      <c r="R652" s="70"/>
      <c r="S652" s="70"/>
      <c r="T652" s="70"/>
      <c r="U652" s="70"/>
      <c r="V652" s="70"/>
      <c r="W652" s="70"/>
    </row>
    <row r="653" ht="14.25" customHeight="1">
      <c r="A653" s="70"/>
      <c r="B653" s="70"/>
      <c r="C653" s="70"/>
      <c r="D653" s="70"/>
      <c r="E653" s="5"/>
      <c r="F653" s="70"/>
      <c r="G653" s="70"/>
      <c r="H653" s="70"/>
      <c r="I653" s="70"/>
      <c r="J653" s="70"/>
      <c r="K653" s="70"/>
      <c r="L653" s="70"/>
      <c r="M653" s="70"/>
      <c r="N653" s="70"/>
      <c r="O653" s="70"/>
      <c r="P653" s="70"/>
      <c r="Q653" s="70"/>
      <c r="R653" s="70"/>
      <c r="S653" s="70"/>
      <c r="T653" s="70"/>
      <c r="U653" s="70"/>
      <c r="V653" s="70"/>
      <c r="W653" s="70"/>
    </row>
    <row r="654" ht="14.25" customHeight="1">
      <c r="A654" s="70"/>
      <c r="B654" s="70"/>
      <c r="C654" s="70"/>
      <c r="D654" s="70"/>
      <c r="E654" s="5"/>
      <c r="F654" s="70"/>
      <c r="G654" s="70"/>
      <c r="H654" s="70"/>
      <c r="I654" s="70"/>
      <c r="J654" s="70"/>
      <c r="K654" s="70"/>
      <c r="L654" s="70"/>
      <c r="M654" s="70"/>
      <c r="N654" s="70"/>
      <c r="O654" s="70"/>
      <c r="P654" s="70"/>
      <c r="Q654" s="70"/>
      <c r="R654" s="70"/>
      <c r="S654" s="70"/>
      <c r="T654" s="70"/>
      <c r="U654" s="70"/>
      <c r="V654" s="70"/>
      <c r="W654" s="70"/>
    </row>
    <row r="655" ht="14.25" customHeight="1">
      <c r="A655" s="70"/>
      <c r="B655" s="70"/>
      <c r="C655" s="70"/>
      <c r="D655" s="70"/>
      <c r="E655" s="5"/>
      <c r="F655" s="70"/>
      <c r="G655" s="70"/>
      <c r="H655" s="70"/>
      <c r="I655" s="70"/>
      <c r="J655" s="70"/>
      <c r="K655" s="70"/>
      <c r="L655" s="70"/>
      <c r="M655" s="70"/>
      <c r="N655" s="70"/>
      <c r="O655" s="70"/>
      <c r="P655" s="70"/>
      <c r="Q655" s="70"/>
      <c r="R655" s="70"/>
      <c r="S655" s="70"/>
      <c r="T655" s="70"/>
      <c r="U655" s="70"/>
      <c r="V655" s="70"/>
      <c r="W655" s="70"/>
    </row>
    <row r="656" ht="14.25" customHeight="1">
      <c r="A656" s="70"/>
      <c r="B656" s="70"/>
      <c r="C656" s="70"/>
      <c r="D656" s="70"/>
      <c r="E656" s="5"/>
      <c r="F656" s="70"/>
      <c r="G656" s="70"/>
      <c r="H656" s="70"/>
      <c r="I656" s="70"/>
      <c r="J656" s="70"/>
      <c r="K656" s="70"/>
      <c r="L656" s="70"/>
      <c r="M656" s="70"/>
      <c r="N656" s="70"/>
      <c r="O656" s="70"/>
      <c r="P656" s="70"/>
      <c r="Q656" s="70"/>
      <c r="R656" s="70"/>
      <c r="S656" s="70"/>
      <c r="T656" s="70"/>
      <c r="U656" s="70"/>
      <c r="V656" s="70"/>
      <c r="W656" s="70"/>
    </row>
    <row r="657" ht="14.25" customHeight="1">
      <c r="A657" s="70"/>
      <c r="B657" s="70"/>
      <c r="C657" s="70"/>
      <c r="D657" s="70"/>
      <c r="E657" s="5"/>
      <c r="F657" s="70"/>
      <c r="G657" s="70"/>
      <c r="H657" s="70"/>
      <c r="I657" s="70"/>
      <c r="J657" s="70"/>
      <c r="K657" s="70"/>
      <c r="L657" s="70"/>
      <c r="M657" s="70"/>
      <c r="N657" s="70"/>
      <c r="O657" s="70"/>
      <c r="P657" s="70"/>
      <c r="Q657" s="70"/>
      <c r="R657" s="70"/>
      <c r="S657" s="70"/>
      <c r="T657" s="70"/>
      <c r="U657" s="70"/>
      <c r="V657" s="70"/>
      <c r="W657" s="70"/>
    </row>
    <row r="658" ht="14.25" customHeight="1">
      <c r="A658" s="70"/>
      <c r="B658" s="70"/>
      <c r="C658" s="70"/>
      <c r="D658" s="70"/>
      <c r="E658" s="5"/>
      <c r="F658" s="70"/>
      <c r="G658" s="70"/>
      <c r="H658" s="70"/>
      <c r="I658" s="70"/>
      <c r="J658" s="70"/>
      <c r="K658" s="70"/>
      <c r="L658" s="70"/>
      <c r="M658" s="70"/>
      <c r="N658" s="70"/>
      <c r="O658" s="70"/>
      <c r="P658" s="70"/>
      <c r="Q658" s="70"/>
      <c r="R658" s="70"/>
      <c r="S658" s="70"/>
      <c r="T658" s="70"/>
      <c r="U658" s="70"/>
      <c r="V658" s="70"/>
      <c r="W658" s="70"/>
    </row>
    <row r="659" ht="14.25" customHeight="1">
      <c r="A659" s="70"/>
      <c r="B659" s="70"/>
      <c r="C659" s="70"/>
      <c r="D659" s="70"/>
      <c r="E659" s="5"/>
      <c r="F659" s="70"/>
      <c r="G659" s="70"/>
      <c r="H659" s="70"/>
      <c r="I659" s="70"/>
      <c r="J659" s="70"/>
      <c r="K659" s="70"/>
      <c r="L659" s="70"/>
      <c r="M659" s="70"/>
      <c r="N659" s="70"/>
      <c r="O659" s="70"/>
      <c r="P659" s="70"/>
      <c r="Q659" s="70"/>
      <c r="R659" s="70"/>
      <c r="S659" s="70"/>
      <c r="T659" s="70"/>
      <c r="U659" s="70"/>
      <c r="V659" s="70"/>
      <c r="W659" s="70"/>
    </row>
    <row r="660" ht="14.25" customHeight="1">
      <c r="A660" s="70"/>
      <c r="B660" s="70"/>
      <c r="C660" s="70"/>
      <c r="D660" s="70"/>
      <c r="E660" s="5"/>
      <c r="F660" s="70"/>
      <c r="G660" s="70"/>
      <c r="H660" s="70"/>
      <c r="I660" s="70"/>
      <c r="J660" s="70"/>
      <c r="K660" s="70"/>
      <c r="L660" s="70"/>
      <c r="M660" s="70"/>
      <c r="N660" s="70"/>
      <c r="O660" s="70"/>
      <c r="P660" s="70"/>
      <c r="Q660" s="70"/>
      <c r="R660" s="70"/>
      <c r="S660" s="70"/>
      <c r="T660" s="70"/>
      <c r="U660" s="70"/>
      <c r="V660" s="70"/>
      <c r="W660" s="70"/>
    </row>
    <row r="661" ht="14.25" customHeight="1">
      <c r="A661" s="70"/>
      <c r="B661" s="70"/>
      <c r="C661" s="70"/>
      <c r="D661" s="70"/>
      <c r="E661" s="5"/>
      <c r="F661" s="70"/>
      <c r="G661" s="70"/>
      <c r="H661" s="70"/>
      <c r="I661" s="70"/>
      <c r="J661" s="70"/>
      <c r="K661" s="70"/>
      <c r="L661" s="70"/>
      <c r="M661" s="70"/>
      <c r="N661" s="70"/>
      <c r="O661" s="70"/>
      <c r="P661" s="70"/>
      <c r="Q661" s="70"/>
      <c r="R661" s="70"/>
      <c r="S661" s="70"/>
      <c r="T661" s="70"/>
      <c r="U661" s="70"/>
      <c r="V661" s="70"/>
      <c r="W661" s="70"/>
    </row>
    <row r="662" ht="14.25" customHeight="1">
      <c r="A662" s="70"/>
      <c r="B662" s="70"/>
      <c r="C662" s="70"/>
      <c r="D662" s="70"/>
      <c r="E662" s="5"/>
      <c r="F662" s="70"/>
      <c r="G662" s="70"/>
      <c r="H662" s="70"/>
      <c r="I662" s="70"/>
      <c r="J662" s="70"/>
      <c r="K662" s="70"/>
      <c r="L662" s="70"/>
      <c r="M662" s="70"/>
      <c r="N662" s="70"/>
      <c r="O662" s="70"/>
      <c r="P662" s="70"/>
      <c r="Q662" s="70"/>
      <c r="R662" s="70"/>
      <c r="S662" s="70"/>
      <c r="T662" s="70"/>
      <c r="U662" s="70"/>
      <c r="V662" s="70"/>
      <c r="W662" s="70"/>
    </row>
    <row r="663" ht="14.25" customHeight="1">
      <c r="A663" s="70"/>
      <c r="B663" s="70"/>
      <c r="C663" s="70"/>
      <c r="D663" s="70"/>
      <c r="E663" s="5"/>
      <c r="F663" s="70"/>
      <c r="G663" s="70"/>
      <c r="H663" s="70"/>
      <c r="I663" s="70"/>
      <c r="J663" s="70"/>
      <c r="K663" s="70"/>
      <c r="L663" s="70"/>
      <c r="M663" s="70"/>
      <c r="N663" s="70"/>
      <c r="O663" s="70"/>
      <c r="P663" s="70"/>
      <c r="Q663" s="70"/>
      <c r="R663" s="70"/>
      <c r="S663" s="70"/>
      <c r="T663" s="70"/>
      <c r="U663" s="70"/>
      <c r="V663" s="70"/>
      <c r="W663" s="70"/>
    </row>
    <row r="664" ht="14.25" customHeight="1">
      <c r="A664" s="70"/>
      <c r="B664" s="70"/>
      <c r="C664" s="70"/>
      <c r="D664" s="70"/>
      <c r="E664" s="5"/>
      <c r="F664" s="70"/>
      <c r="G664" s="70"/>
      <c r="H664" s="70"/>
      <c r="I664" s="70"/>
      <c r="J664" s="70"/>
      <c r="K664" s="70"/>
      <c r="L664" s="70"/>
      <c r="M664" s="70"/>
      <c r="N664" s="70"/>
      <c r="O664" s="70"/>
      <c r="P664" s="70"/>
      <c r="Q664" s="70"/>
      <c r="R664" s="70"/>
      <c r="S664" s="70"/>
      <c r="T664" s="70"/>
      <c r="U664" s="70"/>
      <c r="V664" s="70"/>
      <c r="W664" s="70"/>
    </row>
    <row r="665" ht="14.25" customHeight="1">
      <c r="A665" s="70"/>
      <c r="B665" s="70"/>
      <c r="C665" s="70"/>
      <c r="D665" s="70"/>
      <c r="E665" s="5"/>
      <c r="F665" s="70"/>
      <c r="G665" s="70"/>
      <c r="H665" s="70"/>
      <c r="I665" s="70"/>
      <c r="J665" s="70"/>
      <c r="K665" s="70"/>
      <c r="L665" s="70"/>
      <c r="M665" s="70"/>
      <c r="N665" s="70"/>
      <c r="O665" s="70"/>
      <c r="P665" s="70"/>
      <c r="Q665" s="70"/>
      <c r="R665" s="70"/>
      <c r="S665" s="70"/>
      <c r="T665" s="70"/>
      <c r="U665" s="70"/>
      <c r="V665" s="70"/>
      <c r="W665" s="70"/>
    </row>
    <row r="666" ht="14.25" customHeight="1">
      <c r="A666" s="70"/>
      <c r="B666" s="70"/>
      <c r="C666" s="70"/>
      <c r="D666" s="70"/>
      <c r="E666" s="5"/>
      <c r="F666" s="70"/>
      <c r="G666" s="70"/>
      <c r="H666" s="70"/>
      <c r="I666" s="70"/>
      <c r="J666" s="70"/>
      <c r="K666" s="70"/>
      <c r="L666" s="70"/>
      <c r="M666" s="70"/>
      <c r="N666" s="70"/>
      <c r="O666" s="70"/>
      <c r="P666" s="70"/>
      <c r="Q666" s="70"/>
      <c r="R666" s="70"/>
      <c r="S666" s="70"/>
      <c r="T666" s="70"/>
      <c r="U666" s="70"/>
      <c r="V666" s="70"/>
      <c r="W666" s="70"/>
    </row>
    <row r="667" ht="14.25" customHeight="1">
      <c r="A667" s="70"/>
      <c r="B667" s="70"/>
      <c r="C667" s="70"/>
      <c r="D667" s="70"/>
      <c r="E667" s="5"/>
      <c r="F667" s="70"/>
      <c r="G667" s="70"/>
      <c r="H667" s="70"/>
      <c r="I667" s="70"/>
      <c r="J667" s="70"/>
      <c r="K667" s="70"/>
      <c r="L667" s="70"/>
      <c r="M667" s="70"/>
      <c r="N667" s="70"/>
      <c r="O667" s="70"/>
      <c r="P667" s="70"/>
      <c r="Q667" s="70"/>
      <c r="R667" s="70"/>
      <c r="S667" s="70"/>
      <c r="T667" s="70"/>
      <c r="U667" s="70"/>
      <c r="V667" s="70"/>
      <c r="W667" s="70"/>
    </row>
    <row r="668" ht="14.25" customHeight="1">
      <c r="A668" s="70"/>
      <c r="B668" s="70"/>
      <c r="C668" s="70"/>
      <c r="D668" s="70"/>
      <c r="E668" s="5"/>
      <c r="F668" s="70"/>
      <c r="G668" s="70"/>
      <c r="H668" s="70"/>
      <c r="I668" s="70"/>
      <c r="J668" s="70"/>
      <c r="K668" s="70"/>
      <c r="L668" s="70"/>
      <c r="M668" s="70"/>
      <c r="N668" s="70"/>
      <c r="O668" s="70"/>
      <c r="P668" s="70"/>
      <c r="Q668" s="70"/>
      <c r="R668" s="70"/>
      <c r="S668" s="70"/>
      <c r="T668" s="70"/>
      <c r="U668" s="70"/>
      <c r="V668" s="70"/>
      <c r="W668" s="70"/>
    </row>
    <row r="669" ht="14.25" customHeight="1">
      <c r="A669" s="70"/>
      <c r="B669" s="70"/>
      <c r="C669" s="70"/>
      <c r="D669" s="70"/>
      <c r="E669" s="5"/>
      <c r="F669" s="70"/>
      <c r="G669" s="70"/>
      <c r="H669" s="70"/>
      <c r="I669" s="70"/>
      <c r="J669" s="70"/>
      <c r="K669" s="70"/>
      <c r="L669" s="70"/>
      <c r="M669" s="70"/>
      <c r="N669" s="70"/>
      <c r="O669" s="70"/>
      <c r="P669" s="70"/>
      <c r="Q669" s="70"/>
      <c r="R669" s="70"/>
      <c r="S669" s="70"/>
      <c r="T669" s="70"/>
      <c r="U669" s="70"/>
      <c r="V669" s="70"/>
      <c r="W669" s="70"/>
    </row>
    <row r="670" ht="14.25" customHeight="1">
      <c r="A670" s="70"/>
      <c r="B670" s="70"/>
      <c r="C670" s="70"/>
      <c r="D670" s="70"/>
      <c r="E670" s="5"/>
      <c r="F670" s="70"/>
      <c r="G670" s="70"/>
      <c r="H670" s="70"/>
      <c r="I670" s="70"/>
      <c r="J670" s="70"/>
      <c r="K670" s="70"/>
      <c r="L670" s="70"/>
      <c r="M670" s="70"/>
      <c r="N670" s="70"/>
      <c r="O670" s="70"/>
      <c r="P670" s="70"/>
      <c r="Q670" s="70"/>
      <c r="R670" s="70"/>
      <c r="S670" s="70"/>
      <c r="T670" s="70"/>
      <c r="U670" s="70"/>
      <c r="V670" s="70"/>
      <c r="W670" s="70"/>
    </row>
    <row r="671" ht="14.25" customHeight="1">
      <c r="A671" s="70"/>
      <c r="B671" s="70"/>
      <c r="C671" s="70"/>
      <c r="D671" s="70"/>
      <c r="E671" s="5"/>
      <c r="F671" s="70"/>
      <c r="G671" s="70"/>
      <c r="H671" s="70"/>
      <c r="I671" s="70"/>
      <c r="J671" s="70"/>
      <c r="K671" s="70"/>
      <c r="L671" s="70"/>
      <c r="M671" s="70"/>
      <c r="N671" s="70"/>
      <c r="O671" s="70"/>
      <c r="P671" s="70"/>
      <c r="Q671" s="70"/>
      <c r="R671" s="70"/>
      <c r="S671" s="70"/>
      <c r="T671" s="70"/>
      <c r="U671" s="70"/>
      <c r="V671" s="70"/>
      <c r="W671" s="70"/>
    </row>
    <row r="672" ht="14.25" customHeight="1">
      <c r="A672" s="70"/>
      <c r="B672" s="70"/>
      <c r="C672" s="70"/>
      <c r="D672" s="70"/>
      <c r="E672" s="5"/>
      <c r="F672" s="70"/>
      <c r="G672" s="70"/>
      <c r="H672" s="70"/>
      <c r="I672" s="70"/>
      <c r="J672" s="70"/>
      <c r="K672" s="70"/>
      <c r="L672" s="70"/>
      <c r="M672" s="70"/>
      <c r="N672" s="70"/>
      <c r="O672" s="70"/>
      <c r="P672" s="70"/>
      <c r="Q672" s="70"/>
      <c r="R672" s="70"/>
      <c r="S672" s="70"/>
      <c r="T672" s="70"/>
      <c r="U672" s="70"/>
      <c r="V672" s="70"/>
      <c r="W672" s="70"/>
    </row>
    <row r="673" ht="14.25" customHeight="1">
      <c r="A673" s="70"/>
      <c r="B673" s="70"/>
      <c r="C673" s="70"/>
      <c r="D673" s="70"/>
      <c r="E673" s="5"/>
      <c r="F673" s="70"/>
      <c r="G673" s="70"/>
      <c r="H673" s="70"/>
      <c r="I673" s="70"/>
      <c r="J673" s="70"/>
      <c r="K673" s="70"/>
      <c r="L673" s="70"/>
      <c r="M673" s="70"/>
      <c r="N673" s="70"/>
      <c r="O673" s="70"/>
      <c r="P673" s="70"/>
      <c r="Q673" s="70"/>
      <c r="R673" s="70"/>
      <c r="S673" s="70"/>
      <c r="T673" s="70"/>
      <c r="U673" s="70"/>
      <c r="V673" s="70"/>
      <c r="W673" s="70"/>
    </row>
    <row r="674" ht="14.25" customHeight="1">
      <c r="A674" s="70"/>
      <c r="B674" s="70"/>
      <c r="C674" s="70"/>
      <c r="D674" s="70"/>
      <c r="E674" s="5"/>
      <c r="F674" s="70"/>
      <c r="G674" s="70"/>
      <c r="H674" s="70"/>
      <c r="I674" s="70"/>
      <c r="J674" s="70"/>
      <c r="K674" s="70"/>
      <c r="L674" s="70"/>
      <c r="M674" s="70"/>
      <c r="N674" s="70"/>
      <c r="O674" s="70"/>
      <c r="P674" s="70"/>
      <c r="Q674" s="70"/>
      <c r="R674" s="70"/>
      <c r="S674" s="70"/>
      <c r="T674" s="70"/>
      <c r="U674" s="70"/>
      <c r="V674" s="70"/>
      <c r="W674" s="70"/>
    </row>
    <row r="675" ht="14.25" customHeight="1">
      <c r="A675" s="70"/>
      <c r="B675" s="70"/>
      <c r="C675" s="70"/>
      <c r="D675" s="70"/>
      <c r="E675" s="5"/>
      <c r="F675" s="70"/>
      <c r="G675" s="70"/>
      <c r="H675" s="70"/>
      <c r="I675" s="70"/>
      <c r="J675" s="70"/>
      <c r="K675" s="70"/>
      <c r="L675" s="70"/>
      <c r="M675" s="70"/>
      <c r="N675" s="70"/>
      <c r="O675" s="70"/>
      <c r="P675" s="70"/>
      <c r="Q675" s="70"/>
      <c r="R675" s="70"/>
      <c r="S675" s="70"/>
      <c r="T675" s="70"/>
      <c r="U675" s="70"/>
      <c r="V675" s="70"/>
      <c r="W675" s="70"/>
    </row>
    <row r="676" ht="14.25" customHeight="1">
      <c r="A676" s="70"/>
      <c r="B676" s="70"/>
      <c r="C676" s="70"/>
      <c r="D676" s="70"/>
      <c r="E676" s="5"/>
      <c r="F676" s="70"/>
      <c r="G676" s="70"/>
      <c r="H676" s="70"/>
      <c r="I676" s="70"/>
      <c r="J676" s="70"/>
      <c r="K676" s="70"/>
      <c r="L676" s="70"/>
      <c r="M676" s="70"/>
      <c r="N676" s="70"/>
      <c r="O676" s="70"/>
      <c r="P676" s="70"/>
      <c r="Q676" s="70"/>
      <c r="R676" s="70"/>
      <c r="S676" s="70"/>
      <c r="T676" s="70"/>
      <c r="U676" s="70"/>
      <c r="V676" s="70"/>
      <c r="W676" s="70"/>
    </row>
    <row r="677" ht="14.25" customHeight="1">
      <c r="A677" s="70"/>
      <c r="B677" s="70"/>
      <c r="C677" s="70"/>
      <c r="D677" s="70"/>
      <c r="E677" s="5"/>
      <c r="F677" s="70"/>
      <c r="G677" s="70"/>
      <c r="H677" s="70"/>
      <c r="I677" s="70"/>
      <c r="J677" s="70"/>
      <c r="K677" s="70"/>
      <c r="L677" s="70"/>
      <c r="M677" s="70"/>
      <c r="N677" s="70"/>
      <c r="O677" s="70"/>
      <c r="P677" s="70"/>
      <c r="Q677" s="70"/>
      <c r="R677" s="70"/>
      <c r="S677" s="70"/>
      <c r="T677" s="70"/>
      <c r="U677" s="70"/>
      <c r="V677" s="70"/>
      <c r="W677" s="70"/>
    </row>
    <row r="678" ht="14.25" customHeight="1">
      <c r="A678" s="70"/>
      <c r="B678" s="70"/>
      <c r="C678" s="70"/>
      <c r="D678" s="70"/>
      <c r="E678" s="5"/>
      <c r="F678" s="70"/>
      <c r="G678" s="70"/>
      <c r="H678" s="70"/>
      <c r="I678" s="70"/>
      <c r="J678" s="70"/>
      <c r="K678" s="70"/>
      <c r="L678" s="70"/>
      <c r="M678" s="70"/>
      <c r="N678" s="70"/>
      <c r="O678" s="70"/>
      <c r="P678" s="70"/>
      <c r="Q678" s="70"/>
      <c r="R678" s="70"/>
      <c r="S678" s="70"/>
      <c r="T678" s="70"/>
      <c r="U678" s="70"/>
      <c r="V678" s="70"/>
      <c r="W678" s="70"/>
    </row>
    <row r="679" ht="14.25" customHeight="1">
      <c r="A679" s="70"/>
      <c r="B679" s="70"/>
      <c r="C679" s="70"/>
      <c r="D679" s="70"/>
      <c r="E679" s="5"/>
      <c r="F679" s="70"/>
      <c r="G679" s="70"/>
      <c r="H679" s="70"/>
      <c r="I679" s="70"/>
      <c r="J679" s="70"/>
      <c r="K679" s="70"/>
      <c r="L679" s="70"/>
      <c r="M679" s="70"/>
      <c r="N679" s="70"/>
      <c r="O679" s="70"/>
      <c r="P679" s="70"/>
      <c r="Q679" s="70"/>
      <c r="R679" s="70"/>
      <c r="S679" s="70"/>
      <c r="T679" s="70"/>
      <c r="U679" s="70"/>
      <c r="V679" s="70"/>
      <c r="W679" s="70"/>
    </row>
    <row r="680" ht="14.25" customHeight="1">
      <c r="A680" s="70"/>
      <c r="B680" s="70"/>
      <c r="C680" s="70"/>
      <c r="D680" s="70"/>
      <c r="E680" s="5"/>
      <c r="F680" s="70"/>
      <c r="G680" s="70"/>
      <c r="H680" s="70"/>
      <c r="I680" s="70"/>
      <c r="J680" s="70"/>
      <c r="K680" s="70"/>
      <c r="L680" s="70"/>
      <c r="M680" s="70"/>
      <c r="N680" s="70"/>
      <c r="O680" s="70"/>
      <c r="P680" s="70"/>
      <c r="Q680" s="70"/>
      <c r="R680" s="70"/>
      <c r="S680" s="70"/>
      <c r="T680" s="70"/>
      <c r="U680" s="70"/>
      <c r="V680" s="70"/>
      <c r="W680" s="70"/>
    </row>
    <row r="681" ht="14.25" customHeight="1">
      <c r="A681" s="70"/>
      <c r="B681" s="70"/>
      <c r="C681" s="70"/>
      <c r="D681" s="70"/>
      <c r="E681" s="5"/>
      <c r="F681" s="70"/>
      <c r="G681" s="70"/>
      <c r="H681" s="70"/>
      <c r="I681" s="70"/>
      <c r="J681" s="70"/>
      <c r="K681" s="70"/>
      <c r="L681" s="70"/>
      <c r="M681" s="70"/>
      <c r="N681" s="70"/>
      <c r="O681" s="70"/>
      <c r="P681" s="70"/>
      <c r="Q681" s="70"/>
      <c r="R681" s="70"/>
      <c r="S681" s="70"/>
      <c r="T681" s="70"/>
      <c r="U681" s="70"/>
      <c r="V681" s="70"/>
      <c r="W681" s="70"/>
    </row>
    <row r="682" ht="14.25" customHeight="1">
      <c r="A682" s="70"/>
      <c r="B682" s="70"/>
      <c r="C682" s="70"/>
      <c r="D682" s="70"/>
      <c r="E682" s="5"/>
      <c r="F682" s="70"/>
      <c r="G682" s="70"/>
      <c r="H682" s="70"/>
      <c r="I682" s="70"/>
      <c r="J682" s="70"/>
      <c r="K682" s="70"/>
      <c r="L682" s="70"/>
      <c r="M682" s="70"/>
      <c r="N682" s="70"/>
      <c r="O682" s="70"/>
      <c r="P682" s="70"/>
      <c r="Q682" s="70"/>
      <c r="R682" s="70"/>
      <c r="S682" s="70"/>
      <c r="T682" s="70"/>
      <c r="U682" s="70"/>
      <c r="V682" s="70"/>
      <c r="W682" s="70"/>
    </row>
    <row r="683" ht="14.25" customHeight="1">
      <c r="A683" s="70"/>
      <c r="B683" s="70"/>
      <c r="C683" s="70"/>
      <c r="D683" s="70"/>
      <c r="E683" s="5"/>
      <c r="F683" s="70"/>
      <c r="G683" s="70"/>
      <c r="H683" s="70"/>
      <c r="I683" s="70"/>
      <c r="J683" s="70"/>
      <c r="K683" s="70"/>
      <c r="L683" s="70"/>
      <c r="M683" s="70"/>
      <c r="N683" s="70"/>
      <c r="O683" s="70"/>
      <c r="P683" s="70"/>
      <c r="Q683" s="70"/>
      <c r="R683" s="70"/>
      <c r="S683" s="70"/>
      <c r="T683" s="70"/>
      <c r="U683" s="70"/>
      <c r="V683" s="70"/>
      <c r="W683" s="70"/>
    </row>
    <row r="684" ht="14.25" customHeight="1">
      <c r="A684" s="70"/>
      <c r="B684" s="70"/>
      <c r="C684" s="70"/>
      <c r="D684" s="70"/>
      <c r="E684" s="5"/>
      <c r="F684" s="70"/>
      <c r="G684" s="70"/>
      <c r="H684" s="70"/>
      <c r="I684" s="70"/>
      <c r="J684" s="70"/>
      <c r="K684" s="70"/>
      <c r="L684" s="70"/>
      <c r="M684" s="70"/>
      <c r="N684" s="70"/>
      <c r="O684" s="70"/>
      <c r="P684" s="70"/>
      <c r="Q684" s="70"/>
      <c r="R684" s="70"/>
      <c r="S684" s="70"/>
      <c r="T684" s="70"/>
      <c r="U684" s="70"/>
      <c r="V684" s="70"/>
      <c r="W684" s="70"/>
    </row>
    <row r="685" ht="14.25" customHeight="1">
      <c r="A685" s="70"/>
      <c r="B685" s="70"/>
      <c r="C685" s="70"/>
      <c r="D685" s="70"/>
      <c r="E685" s="5"/>
      <c r="F685" s="70"/>
      <c r="G685" s="70"/>
      <c r="H685" s="70"/>
      <c r="I685" s="70"/>
      <c r="J685" s="70"/>
      <c r="K685" s="70"/>
      <c r="L685" s="70"/>
      <c r="M685" s="70"/>
      <c r="N685" s="70"/>
      <c r="O685" s="70"/>
      <c r="P685" s="70"/>
      <c r="Q685" s="70"/>
      <c r="R685" s="70"/>
      <c r="S685" s="70"/>
      <c r="T685" s="70"/>
      <c r="U685" s="70"/>
      <c r="V685" s="70"/>
      <c r="W685" s="70"/>
    </row>
    <row r="686" ht="14.25" customHeight="1">
      <c r="A686" s="70"/>
      <c r="B686" s="70"/>
      <c r="C686" s="70"/>
      <c r="D686" s="70"/>
      <c r="E686" s="5"/>
      <c r="F686" s="70"/>
      <c r="G686" s="70"/>
      <c r="H686" s="70"/>
      <c r="I686" s="70"/>
      <c r="J686" s="70"/>
      <c r="K686" s="70"/>
      <c r="L686" s="70"/>
      <c r="M686" s="70"/>
      <c r="N686" s="70"/>
      <c r="O686" s="70"/>
      <c r="P686" s="70"/>
      <c r="Q686" s="70"/>
      <c r="R686" s="70"/>
      <c r="S686" s="70"/>
      <c r="T686" s="70"/>
      <c r="U686" s="70"/>
      <c r="V686" s="70"/>
      <c r="W686" s="70"/>
    </row>
    <row r="687" ht="14.25" customHeight="1">
      <c r="A687" s="70"/>
      <c r="B687" s="70"/>
      <c r="C687" s="70"/>
      <c r="D687" s="70"/>
      <c r="E687" s="5"/>
      <c r="F687" s="70"/>
      <c r="G687" s="70"/>
      <c r="H687" s="70"/>
      <c r="I687" s="70"/>
      <c r="J687" s="70"/>
      <c r="K687" s="70"/>
      <c r="L687" s="70"/>
      <c r="M687" s="70"/>
      <c r="N687" s="70"/>
      <c r="O687" s="70"/>
      <c r="P687" s="70"/>
      <c r="Q687" s="70"/>
      <c r="R687" s="70"/>
      <c r="S687" s="70"/>
      <c r="T687" s="70"/>
      <c r="U687" s="70"/>
      <c r="V687" s="70"/>
      <c r="W687" s="70"/>
    </row>
    <row r="688" ht="14.25" customHeight="1">
      <c r="A688" s="70"/>
      <c r="B688" s="70"/>
      <c r="C688" s="70"/>
      <c r="D688" s="70"/>
      <c r="E688" s="5"/>
      <c r="F688" s="70"/>
      <c r="G688" s="70"/>
      <c r="H688" s="70"/>
      <c r="I688" s="70"/>
      <c r="J688" s="70"/>
      <c r="K688" s="70"/>
      <c r="L688" s="70"/>
      <c r="M688" s="70"/>
      <c r="N688" s="70"/>
      <c r="O688" s="70"/>
      <c r="P688" s="70"/>
      <c r="Q688" s="70"/>
      <c r="R688" s="70"/>
      <c r="S688" s="70"/>
      <c r="T688" s="70"/>
      <c r="U688" s="70"/>
      <c r="V688" s="70"/>
      <c r="W688" s="70"/>
    </row>
    <row r="689" ht="14.25" customHeight="1">
      <c r="A689" s="70"/>
      <c r="B689" s="70"/>
      <c r="C689" s="70"/>
      <c r="D689" s="70"/>
      <c r="E689" s="5"/>
      <c r="F689" s="70"/>
      <c r="G689" s="70"/>
      <c r="H689" s="70"/>
      <c r="I689" s="70"/>
      <c r="J689" s="70"/>
      <c r="K689" s="70"/>
      <c r="L689" s="70"/>
      <c r="M689" s="70"/>
      <c r="N689" s="70"/>
      <c r="O689" s="70"/>
      <c r="P689" s="70"/>
      <c r="Q689" s="70"/>
      <c r="R689" s="70"/>
      <c r="S689" s="70"/>
      <c r="T689" s="70"/>
      <c r="U689" s="70"/>
      <c r="V689" s="70"/>
      <c r="W689" s="70"/>
    </row>
    <row r="690" ht="14.25" customHeight="1">
      <c r="A690" s="70"/>
      <c r="B690" s="70"/>
      <c r="C690" s="70"/>
      <c r="D690" s="70"/>
      <c r="E690" s="5"/>
      <c r="F690" s="70"/>
      <c r="G690" s="70"/>
      <c r="H690" s="70"/>
      <c r="I690" s="70"/>
      <c r="J690" s="70"/>
      <c r="K690" s="70"/>
      <c r="L690" s="70"/>
      <c r="M690" s="70"/>
      <c r="N690" s="70"/>
      <c r="O690" s="70"/>
      <c r="P690" s="70"/>
      <c r="Q690" s="70"/>
      <c r="R690" s="70"/>
      <c r="S690" s="70"/>
      <c r="T690" s="70"/>
      <c r="U690" s="70"/>
      <c r="V690" s="70"/>
      <c r="W690" s="70"/>
    </row>
    <row r="691" ht="14.25" customHeight="1">
      <c r="A691" s="70"/>
      <c r="B691" s="70"/>
      <c r="C691" s="70"/>
      <c r="D691" s="70"/>
      <c r="E691" s="5"/>
      <c r="F691" s="70"/>
      <c r="G691" s="70"/>
      <c r="H691" s="70"/>
      <c r="I691" s="70"/>
      <c r="J691" s="70"/>
      <c r="K691" s="70"/>
      <c r="L691" s="70"/>
      <c r="M691" s="70"/>
      <c r="N691" s="70"/>
      <c r="O691" s="70"/>
      <c r="P691" s="70"/>
      <c r="Q691" s="70"/>
      <c r="R691" s="70"/>
      <c r="S691" s="70"/>
      <c r="T691" s="70"/>
      <c r="U691" s="70"/>
      <c r="V691" s="70"/>
      <c r="W691" s="70"/>
    </row>
    <row r="692" ht="14.25" customHeight="1">
      <c r="A692" s="70"/>
      <c r="B692" s="70"/>
      <c r="C692" s="70"/>
      <c r="D692" s="70"/>
      <c r="E692" s="5"/>
      <c r="F692" s="70"/>
      <c r="G692" s="70"/>
      <c r="H692" s="70"/>
      <c r="I692" s="70"/>
      <c r="J692" s="70"/>
      <c r="K692" s="70"/>
      <c r="L692" s="70"/>
      <c r="M692" s="70"/>
      <c r="N692" s="70"/>
      <c r="O692" s="70"/>
      <c r="P692" s="70"/>
      <c r="Q692" s="70"/>
      <c r="R692" s="70"/>
      <c r="S692" s="70"/>
      <c r="T692" s="70"/>
      <c r="U692" s="70"/>
      <c r="V692" s="70"/>
      <c r="W692" s="70"/>
    </row>
    <row r="693" ht="14.25" customHeight="1">
      <c r="A693" s="70"/>
      <c r="B693" s="70"/>
      <c r="C693" s="70"/>
      <c r="D693" s="70"/>
      <c r="E693" s="5"/>
      <c r="F693" s="70"/>
      <c r="G693" s="70"/>
      <c r="H693" s="70"/>
      <c r="I693" s="70"/>
      <c r="J693" s="70"/>
      <c r="K693" s="70"/>
      <c r="L693" s="70"/>
      <c r="M693" s="70"/>
      <c r="N693" s="70"/>
      <c r="O693" s="70"/>
      <c r="P693" s="70"/>
      <c r="Q693" s="70"/>
      <c r="R693" s="70"/>
      <c r="S693" s="70"/>
      <c r="T693" s="70"/>
      <c r="U693" s="70"/>
      <c r="V693" s="70"/>
      <c r="W693" s="70"/>
    </row>
    <row r="694" ht="14.25" customHeight="1">
      <c r="A694" s="70"/>
      <c r="B694" s="70"/>
      <c r="C694" s="70"/>
      <c r="D694" s="70"/>
      <c r="E694" s="5"/>
      <c r="F694" s="70"/>
      <c r="G694" s="70"/>
      <c r="H694" s="70"/>
      <c r="I694" s="70"/>
      <c r="J694" s="70"/>
      <c r="K694" s="70"/>
      <c r="L694" s="70"/>
      <c r="M694" s="70"/>
      <c r="N694" s="70"/>
      <c r="O694" s="70"/>
      <c r="P694" s="70"/>
      <c r="Q694" s="70"/>
      <c r="R694" s="70"/>
      <c r="S694" s="70"/>
      <c r="T694" s="70"/>
      <c r="U694" s="70"/>
      <c r="V694" s="70"/>
      <c r="W694" s="70"/>
    </row>
    <row r="695" ht="14.25" customHeight="1">
      <c r="A695" s="70"/>
      <c r="B695" s="70"/>
      <c r="C695" s="70"/>
      <c r="D695" s="70"/>
      <c r="E695" s="5"/>
      <c r="F695" s="70"/>
      <c r="G695" s="70"/>
      <c r="H695" s="70"/>
      <c r="I695" s="70"/>
      <c r="J695" s="70"/>
      <c r="K695" s="70"/>
      <c r="L695" s="70"/>
      <c r="M695" s="70"/>
      <c r="N695" s="70"/>
      <c r="O695" s="70"/>
      <c r="P695" s="70"/>
      <c r="Q695" s="70"/>
      <c r="R695" s="70"/>
      <c r="S695" s="70"/>
      <c r="T695" s="70"/>
      <c r="U695" s="70"/>
      <c r="V695" s="70"/>
      <c r="W695" s="70"/>
    </row>
    <row r="696" ht="14.25" customHeight="1">
      <c r="A696" s="70"/>
      <c r="B696" s="70"/>
      <c r="C696" s="70"/>
      <c r="D696" s="70"/>
      <c r="E696" s="5"/>
      <c r="F696" s="70"/>
      <c r="G696" s="70"/>
      <c r="H696" s="70"/>
      <c r="I696" s="70"/>
      <c r="J696" s="70"/>
      <c r="K696" s="70"/>
      <c r="L696" s="70"/>
      <c r="M696" s="70"/>
      <c r="N696" s="70"/>
      <c r="O696" s="70"/>
      <c r="P696" s="70"/>
      <c r="Q696" s="70"/>
      <c r="R696" s="70"/>
      <c r="S696" s="70"/>
      <c r="T696" s="70"/>
      <c r="U696" s="70"/>
      <c r="V696" s="70"/>
      <c r="W696" s="70"/>
    </row>
    <row r="697" ht="14.25" customHeight="1">
      <c r="A697" s="70"/>
      <c r="B697" s="70"/>
      <c r="C697" s="70"/>
      <c r="D697" s="70"/>
      <c r="E697" s="5"/>
      <c r="F697" s="70"/>
      <c r="G697" s="70"/>
      <c r="H697" s="70"/>
      <c r="I697" s="70"/>
      <c r="J697" s="70"/>
      <c r="K697" s="70"/>
      <c r="L697" s="70"/>
      <c r="M697" s="70"/>
      <c r="N697" s="70"/>
      <c r="O697" s="70"/>
      <c r="P697" s="70"/>
      <c r="Q697" s="70"/>
      <c r="R697" s="70"/>
      <c r="S697" s="70"/>
      <c r="T697" s="70"/>
      <c r="U697" s="70"/>
      <c r="V697" s="70"/>
      <c r="W697" s="70"/>
    </row>
    <row r="698" ht="14.25" customHeight="1">
      <c r="A698" s="70"/>
      <c r="B698" s="70"/>
      <c r="C698" s="70"/>
      <c r="D698" s="70"/>
      <c r="E698" s="5"/>
      <c r="F698" s="70"/>
      <c r="G698" s="70"/>
      <c r="H698" s="70"/>
      <c r="I698" s="70"/>
      <c r="J698" s="70"/>
      <c r="K698" s="70"/>
      <c r="L698" s="70"/>
      <c r="M698" s="70"/>
      <c r="N698" s="70"/>
      <c r="O698" s="70"/>
      <c r="P698" s="70"/>
      <c r="Q698" s="70"/>
      <c r="R698" s="70"/>
      <c r="S698" s="70"/>
      <c r="T698" s="70"/>
      <c r="U698" s="70"/>
      <c r="V698" s="70"/>
      <c r="W698" s="70"/>
    </row>
    <row r="699" ht="14.25" customHeight="1">
      <c r="A699" s="70"/>
      <c r="B699" s="70"/>
      <c r="C699" s="70"/>
      <c r="D699" s="70"/>
      <c r="E699" s="5"/>
      <c r="F699" s="70"/>
      <c r="G699" s="70"/>
      <c r="H699" s="70"/>
      <c r="I699" s="70"/>
      <c r="J699" s="70"/>
      <c r="K699" s="70"/>
      <c r="L699" s="70"/>
      <c r="M699" s="70"/>
      <c r="N699" s="70"/>
      <c r="O699" s="70"/>
      <c r="P699" s="70"/>
      <c r="Q699" s="70"/>
      <c r="R699" s="70"/>
      <c r="S699" s="70"/>
      <c r="T699" s="70"/>
      <c r="U699" s="70"/>
      <c r="V699" s="70"/>
      <c r="W699" s="70"/>
    </row>
    <row r="700" ht="14.25" customHeight="1">
      <c r="A700" s="70"/>
      <c r="B700" s="70"/>
      <c r="C700" s="70"/>
      <c r="D700" s="70"/>
      <c r="E700" s="5"/>
      <c r="F700" s="70"/>
      <c r="G700" s="70"/>
      <c r="H700" s="70"/>
      <c r="I700" s="70"/>
      <c r="J700" s="70"/>
      <c r="K700" s="70"/>
      <c r="L700" s="70"/>
      <c r="M700" s="70"/>
      <c r="N700" s="70"/>
      <c r="O700" s="70"/>
      <c r="P700" s="70"/>
      <c r="Q700" s="70"/>
      <c r="R700" s="70"/>
      <c r="S700" s="70"/>
      <c r="T700" s="70"/>
      <c r="U700" s="70"/>
      <c r="V700" s="70"/>
      <c r="W700" s="70"/>
    </row>
    <row r="701" ht="14.25" customHeight="1">
      <c r="A701" s="70"/>
      <c r="B701" s="70"/>
      <c r="C701" s="70"/>
      <c r="D701" s="70"/>
      <c r="E701" s="5"/>
      <c r="F701" s="70"/>
      <c r="G701" s="70"/>
      <c r="H701" s="70"/>
      <c r="I701" s="70"/>
      <c r="J701" s="70"/>
      <c r="K701" s="70"/>
      <c r="L701" s="70"/>
      <c r="M701" s="70"/>
      <c r="N701" s="70"/>
      <c r="O701" s="70"/>
      <c r="P701" s="70"/>
      <c r="Q701" s="70"/>
      <c r="R701" s="70"/>
      <c r="S701" s="70"/>
      <c r="T701" s="70"/>
      <c r="U701" s="70"/>
      <c r="V701" s="70"/>
      <c r="W701" s="70"/>
    </row>
    <row r="702" ht="14.25" customHeight="1">
      <c r="A702" s="70"/>
      <c r="B702" s="70"/>
      <c r="C702" s="70"/>
      <c r="D702" s="70"/>
      <c r="E702" s="5"/>
      <c r="F702" s="70"/>
      <c r="G702" s="70"/>
      <c r="H702" s="70"/>
      <c r="I702" s="70"/>
      <c r="J702" s="70"/>
      <c r="K702" s="70"/>
      <c r="L702" s="70"/>
      <c r="M702" s="70"/>
      <c r="N702" s="70"/>
      <c r="O702" s="70"/>
      <c r="P702" s="70"/>
      <c r="Q702" s="70"/>
      <c r="R702" s="70"/>
      <c r="S702" s="70"/>
      <c r="T702" s="70"/>
      <c r="U702" s="70"/>
      <c r="V702" s="70"/>
      <c r="W702" s="70"/>
    </row>
    <row r="703" ht="14.25" customHeight="1">
      <c r="A703" s="70"/>
      <c r="B703" s="70"/>
      <c r="C703" s="70"/>
      <c r="D703" s="70"/>
      <c r="E703" s="5"/>
      <c r="F703" s="70"/>
      <c r="G703" s="70"/>
      <c r="H703" s="70"/>
      <c r="I703" s="70"/>
      <c r="J703" s="70"/>
      <c r="K703" s="70"/>
      <c r="L703" s="70"/>
      <c r="M703" s="70"/>
      <c r="N703" s="70"/>
      <c r="O703" s="70"/>
      <c r="P703" s="70"/>
      <c r="Q703" s="70"/>
      <c r="R703" s="70"/>
      <c r="S703" s="70"/>
      <c r="T703" s="70"/>
      <c r="U703" s="70"/>
      <c r="V703" s="70"/>
      <c r="W703" s="70"/>
    </row>
    <row r="704" ht="14.25" customHeight="1">
      <c r="A704" s="70"/>
      <c r="B704" s="70"/>
      <c r="C704" s="70"/>
      <c r="D704" s="70"/>
      <c r="E704" s="5"/>
      <c r="F704" s="70"/>
      <c r="G704" s="70"/>
      <c r="H704" s="70"/>
      <c r="I704" s="70"/>
      <c r="J704" s="70"/>
      <c r="K704" s="70"/>
      <c r="L704" s="70"/>
      <c r="M704" s="70"/>
      <c r="N704" s="70"/>
      <c r="O704" s="70"/>
      <c r="P704" s="70"/>
      <c r="Q704" s="70"/>
      <c r="R704" s="70"/>
      <c r="S704" s="70"/>
      <c r="T704" s="70"/>
      <c r="U704" s="70"/>
      <c r="V704" s="70"/>
      <c r="W704" s="70"/>
    </row>
    <row r="705" ht="14.25" customHeight="1">
      <c r="A705" s="70"/>
      <c r="B705" s="70"/>
      <c r="C705" s="70"/>
      <c r="D705" s="70"/>
      <c r="E705" s="5"/>
      <c r="F705" s="70"/>
      <c r="G705" s="70"/>
      <c r="H705" s="70"/>
      <c r="I705" s="70"/>
      <c r="J705" s="70"/>
      <c r="K705" s="70"/>
      <c r="L705" s="70"/>
      <c r="M705" s="70"/>
      <c r="N705" s="70"/>
      <c r="O705" s="70"/>
      <c r="P705" s="70"/>
      <c r="Q705" s="70"/>
      <c r="R705" s="70"/>
      <c r="S705" s="70"/>
      <c r="T705" s="70"/>
      <c r="U705" s="70"/>
      <c r="V705" s="70"/>
      <c r="W705" s="70"/>
    </row>
    <row r="706" ht="14.25" customHeight="1">
      <c r="A706" s="70"/>
      <c r="B706" s="70"/>
      <c r="C706" s="70"/>
      <c r="D706" s="70"/>
      <c r="E706" s="5"/>
      <c r="F706" s="70"/>
      <c r="G706" s="70"/>
      <c r="H706" s="70"/>
      <c r="I706" s="70"/>
      <c r="J706" s="70"/>
      <c r="K706" s="70"/>
      <c r="L706" s="70"/>
      <c r="M706" s="70"/>
      <c r="N706" s="70"/>
      <c r="O706" s="70"/>
      <c r="P706" s="70"/>
      <c r="Q706" s="70"/>
      <c r="R706" s="70"/>
      <c r="S706" s="70"/>
      <c r="T706" s="70"/>
      <c r="U706" s="70"/>
      <c r="V706" s="70"/>
      <c r="W706" s="70"/>
    </row>
    <row r="707" ht="14.25" customHeight="1">
      <c r="A707" s="70"/>
      <c r="B707" s="70"/>
      <c r="C707" s="70"/>
      <c r="D707" s="70"/>
      <c r="E707" s="5"/>
      <c r="F707" s="70"/>
      <c r="G707" s="70"/>
      <c r="H707" s="70"/>
      <c r="I707" s="70"/>
      <c r="J707" s="70"/>
      <c r="K707" s="70"/>
      <c r="L707" s="70"/>
      <c r="M707" s="70"/>
      <c r="N707" s="70"/>
      <c r="O707" s="70"/>
      <c r="P707" s="70"/>
      <c r="Q707" s="70"/>
      <c r="R707" s="70"/>
      <c r="S707" s="70"/>
      <c r="T707" s="70"/>
      <c r="U707" s="70"/>
      <c r="V707" s="70"/>
      <c r="W707" s="70"/>
    </row>
    <row r="708" ht="14.25" customHeight="1">
      <c r="A708" s="70"/>
      <c r="B708" s="70"/>
      <c r="C708" s="70"/>
      <c r="D708" s="70"/>
      <c r="E708" s="5"/>
      <c r="F708" s="70"/>
      <c r="G708" s="70"/>
      <c r="H708" s="70"/>
      <c r="I708" s="70"/>
      <c r="J708" s="70"/>
      <c r="K708" s="70"/>
      <c r="L708" s="70"/>
      <c r="M708" s="70"/>
      <c r="N708" s="70"/>
      <c r="O708" s="70"/>
      <c r="P708" s="70"/>
      <c r="Q708" s="70"/>
      <c r="R708" s="70"/>
      <c r="S708" s="70"/>
      <c r="T708" s="70"/>
      <c r="U708" s="70"/>
      <c r="V708" s="70"/>
      <c r="W708" s="70"/>
    </row>
    <row r="709" ht="14.25" customHeight="1">
      <c r="A709" s="70"/>
      <c r="B709" s="70"/>
      <c r="C709" s="70"/>
      <c r="D709" s="70"/>
      <c r="E709" s="5"/>
      <c r="F709" s="70"/>
      <c r="G709" s="70"/>
      <c r="H709" s="70"/>
      <c r="I709" s="70"/>
      <c r="J709" s="70"/>
      <c r="K709" s="70"/>
      <c r="L709" s="70"/>
      <c r="M709" s="70"/>
      <c r="N709" s="70"/>
      <c r="O709" s="70"/>
      <c r="P709" s="70"/>
      <c r="Q709" s="70"/>
      <c r="R709" s="70"/>
      <c r="S709" s="70"/>
      <c r="T709" s="70"/>
      <c r="U709" s="70"/>
      <c r="V709" s="70"/>
      <c r="W709" s="70"/>
    </row>
    <row r="710" ht="14.25" customHeight="1">
      <c r="A710" s="70"/>
      <c r="B710" s="70"/>
      <c r="C710" s="70"/>
      <c r="D710" s="70"/>
      <c r="E710" s="5"/>
      <c r="F710" s="70"/>
      <c r="G710" s="70"/>
      <c r="H710" s="70"/>
      <c r="I710" s="70"/>
      <c r="J710" s="70"/>
      <c r="K710" s="70"/>
      <c r="L710" s="70"/>
      <c r="M710" s="70"/>
      <c r="N710" s="70"/>
      <c r="O710" s="70"/>
      <c r="P710" s="70"/>
      <c r="Q710" s="70"/>
      <c r="R710" s="70"/>
      <c r="S710" s="70"/>
      <c r="T710" s="70"/>
      <c r="U710" s="70"/>
      <c r="V710" s="70"/>
      <c r="W710" s="70"/>
    </row>
    <row r="711" ht="14.25" customHeight="1">
      <c r="A711" s="70"/>
      <c r="B711" s="70"/>
      <c r="C711" s="70"/>
      <c r="D711" s="70"/>
      <c r="E711" s="5"/>
      <c r="F711" s="70"/>
      <c r="G711" s="70"/>
      <c r="H711" s="70"/>
      <c r="I711" s="70"/>
      <c r="J711" s="70"/>
      <c r="K711" s="70"/>
      <c r="L711" s="70"/>
      <c r="M711" s="70"/>
      <c r="N711" s="70"/>
      <c r="O711" s="70"/>
      <c r="P711" s="70"/>
      <c r="Q711" s="70"/>
      <c r="R711" s="70"/>
      <c r="S711" s="70"/>
      <c r="T711" s="70"/>
      <c r="U711" s="70"/>
      <c r="V711" s="70"/>
      <c r="W711" s="70"/>
    </row>
    <row r="712" ht="14.25" customHeight="1">
      <c r="A712" s="70"/>
      <c r="B712" s="70"/>
      <c r="C712" s="70"/>
      <c r="D712" s="70"/>
      <c r="E712" s="5"/>
      <c r="F712" s="70"/>
      <c r="G712" s="70"/>
      <c r="H712" s="70"/>
      <c r="I712" s="70"/>
      <c r="J712" s="70"/>
      <c r="K712" s="70"/>
      <c r="L712" s="70"/>
      <c r="M712" s="70"/>
      <c r="N712" s="70"/>
      <c r="O712" s="70"/>
      <c r="P712" s="70"/>
      <c r="Q712" s="70"/>
      <c r="R712" s="70"/>
      <c r="S712" s="70"/>
      <c r="T712" s="70"/>
      <c r="U712" s="70"/>
      <c r="V712" s="70"/>
      <c r="W712" s="70"/>
    </row>
    <row r="713" ht="14.25" customHeight="1">
      <c r="A713" s="70"/>
      <c r="B713" s="70"/>
      <c r="C713" s="70"/>
      <c r="D713" s="70"/>
      <c r="E713" s="5"/>
      <c r="F713" s="70"/>
      <c r="G713" s="70"/>
      <c r="H713" s="70"/>
      <c r="I713" s="70"/>
      <c r="J713" s="70"/>
      <c r="K713" s="70"/>
      <c r="L713" s="70"/>
      <c r="M713" s="70"/>
      <c r="N713" s="70"/>
      <c r="O713" s="70"/>
      <c r="P713" s="70"/>
      <c r="Q713" s="70"/>
      <c r="R713" s="70"/>
      <c r="S713" s="70"/>
      <c r="T713" s="70"/>
      <c r="U713" s="70"/>
      <c r="V713" s="70"/>
      <c r="W713" s="70"/>
    </row>
    <row r="714" ht="14.25" customHeight="1">
      <c r="A714" s="70"/>
      <c r="B714" s="70"/>
      <c r="C714" s="70"/>
      <c r="D714" s="70"/>
      <c r="E714" s="5"/>
      <c r="F714" s="70"/>
      <c r="G714" s="70"/>
      <c r="H714" s="70"/>
      <c r="I714" s="70"/>
      <c r="J714" s="70"/>
      <c r="K714" s="70"/>
      <c r="L714" s="70"/>
      <c r="M714" s="70"/>
      <c r="N714" s="70"/>
      <c r="O714" s="70"/>
      <c r="P714" s="70"/>
      <c r="Q714" s="70"/>
      <c r="R714" s="70"/>
      <c r="S714" s="70"/>
      <c r="T714" s="70"/>
      <c r="U714" s="70"/>
      <c r="V714" s="70"/>
      <c r="W714" s="70"/>
    </row>
    <row r="715" ht="14.25" customHeight="1">
      <c r="A715" s="70"/>
      <c r="B715" s="70"/>
      <c r="C715" s="70"/>
      <c r="D715" s="70"/>
      <c r="E715" s="5"/>
      <c r="F715" s="70"/>
      <c r="G715" s="70"/>
      <c r="H715" s="70"/>
      <c r="I715" s="70"/>
      <c r="J715" s="70"/>
      <c r="K715" s="70"/>
      <c r="L715" s="70"/>
      <c r="M715" s="70"/>
      <c r="N715" s="70"/>
      <c r="O715" s="70"/>
      <c r="P715" s="70"/>
      <c r="Q715" s="70"/>
      <c r="R715" s="70"/>
      <c r="S715" s="70"/>
      <c r="T715" s="70"/>
      <c r="U715" s="70"/>
      <c r="V715" s="70"/>
      <c r="W715" s="70"/>
    </row>
    <row r="716" ht="14.25" customHeight="1">
      <c r="A716" s="70"/>
      <c r="B716" s="70"/>
      <c r="C716" s="70"/>
      <c r="D716" s="70"/>
      <c r="E716" s="5"/>
      <c r="F716" s="70"/>
      <c r="G716" s="70"/>
      <c r="H716" s="70"/>
      <c r="I716" s="70"/>
      <c r="J716" s="70"/>
      <c r="K716" s="70"/>
      <c r="L716" s="70"/>
      <c r="M716" s="70"/>
      <c r="N716" s="70"/>
      <c r="O716" s="70"/>
      <c r="P716" s="70"/>
      <c r="Q716" s="70"/>
      <c r="R716" s="70"/>
      <c r="S716" s="70"/>
      <c r="T716" s="70"/>
      <c r="U716" s="70"/>
      <c r="V716" s="70"/>
      <c r="W716" s="70"/>
    </row>
    <row r="717" ht="14.25" customHeight="1">
      <c r="A717" s="70"/>
      <c r="B717" s="70"/>
      <c r="C717" s="70"/>
      <c r="D717" s="70"/>
      <c r="E717" s="5"/>
      <c r="F717" s="70"/>
      <c r="G717" s="70"/>
      <c r="H717" s="70"/>
      <c r="I717" s="70"/>
      <c r="J717" s="70"/>
      <c r="K717" s="70"/>
      <c r="L717" s="70"/>
      <c r="M717" s="70"/>
      <c r="N717" s="70"/>
      <c r="O717" s="70"/>
      <c r="P717" s="70"/>
      <c r="Q717" s="70"/>
      <c r="R717" s="70"/>
      <c r="S717" s="70"/>
      <c r="T717" s="70"/>
      <c r="U717" s="70"/>
      <c r="V717" s="70"/>
      <c r="W717" s="70"/>
    </row>
    <row r="718" ht="14.25" customHeight="1">
      <c r="A718" s="70"/>
      <c r="B718" s="70"/>
      <c r="C718" s="70"/>
      <c r="D718" s="70"/>
      <c r="E718" s="5"/>
      <c r="F718" s="70"/>
      <c r="G718" s="70"/>
      <c r="H718" s="70"/>
      <c r="I718" s="70"/>
      <c r="J718" s="70"/>
      <c r="K718" s="70"/>
      <c r="L718" s="70"/>
      <c r="M718" s="70"/>
      <c r="N718" s="70"/>
      <c r="O718" s="70"/>
      <c r="P718" s="70"/>
      <c r="Q718" s="70"/>
      <c r="R718" s="70"/>
      <c r="S718" s="70"/>
      <c r="T718" s="70"/>
      <c r="U718" s="70"/>
      <c r="V718" s="70"/>
      <c r="W718" s="70"/>
    </row>
    <row r="719" ht="14.25" customHeight="1">
      <c r="A719" s="70"/>
      <c r="B719" s="70"/>
      <c r="C719" s="70"/>
      <c r="D719" s="70"/>
      <c r="E719" s="5"/>
      <c r="F719" s="70"/>
      <c r="G719" s="70"/>
      <c r="H719" s="70"/>
      <c r="I719" s="70"/>
      <c r="J719" s="70"/>
      <c r="K719" s="70"/>
      <c r="L719" s="70"/>
      <c r="M719" s="70"/>
      <c r="N719" s="70"/>
      <c r="O719" s="70"/>
      <c r="P719" s="70"/>
      <c r="Q719" s="70"/>
      <c r="R719" s="70"/>
      <c r="S719" s="70"/>
      <c r="T719" s="70"/>
      <c r="U719" s="70"/>
      <c r="V719" s="70"/>
      <c r="W719" s="70"/>
    </row>
    <row r="720" ht="14.25" customHeight="1">
      <c r="A720" s="70"/>
      <c r="B720" s="70"/>
      <c r="C720" s="70"/>
      <c r="D720" s="70"/>
      <c r="E720" s="5"/>
      <c r="F720" s="70"/>
      <c r="G720" s="70"/>
      <c r="H720" s="70"/>
      <c r="I720" s="70"/>
      <c r="J720" s="70"/>
      <c r="K720" s="70"/>
      <c r="L720" s="70"/>
      <c r="M720" s="70"/>
      <c r="N720" s="70"/>
      <c r="O720" s="70"/>
      <c r="P720" s="70"/>
      <c r="Q720" s="70"/>
      <c r="R720" s="70"/>
      <c r="S720" s="70"/>
      <c r="T720" s="70"/>
      <c r="U720" s="70"/>
      <c r="V720" s="70"/>
      <c r="W720" s="70"/>
    </row>
    <row r="721" ht="14.25" customHeight="1">
      <c r="A721" s="70"/>
      <c r="B721" s="70"/>
      <c r="C721" s="70"/>
      <c r="D721" s="70"/>
      <c r="E721" s="5"/>
      <c r="F721" s="70"/>
      <c r="G721" s="70"/>
      <c r="H721" s="70"/>
      <c r="I721" s="70"/>
      <c r="J721" s="70"/>
      <c r="K721" s="70"/>
      <c r="L721" s="70"/>
      <c r="M721" s="70"/>
      <c r="N721" s="70"/>
      <c r="O721" s="70"/>
      <c r="P721" s="70"/>
      <c r="Q721" s="70"/>
      <c r="R721" s="70"/>
      <c r="S721" s="70"/>
      <c r="T721" s="70"/>
      <c r="U721" s="70"/>
      <c r="V721" s="70"/>
      <c r="W721" s="70"/>
    </row>
    <row r="722" ht="14.25" customHeight="1">
      <c r="A722" s="70"/>
      <c r="B722" s="70"/>
      <c r="C722" s="70"/>
      <c r="D722" s="70"/>
      <c r="E722" s="5"/>
      <c r="F722" s="70"/>
      <c r="G722" s="70"/>
      <c r="H722" s="70"/>
      <c r="I722" s="70"/>
      <c r="J722" s="70"/>
      <c r="K722" s="70"/>
      <c r="L722" s="70"/>
      <c r="M722" s="70"/>
      <c r="N722" s="70"/>
      <c r="O722" s="70"/>
      <c r="P722" s="70"/>
      <c r="Q722" s="70"/>
      <c r="R722" s="70"/>
      <c r="S722" s="70"/>
      <c r="T722" s="70"/>
      <c r="U722" s="70"/>
      <c r="V722" s="70"/>
      <c r="W722" s="70"/>
    </row>
    <row r="723" ht="14.25" customHeight="1">
      <c r="A723" s="70"/>
      <c r="B723" s="70"/>
      <c r="C723" s="70"/>
      <c r="D723" s="70"/>
      <c r="E723" s="5"/>
      <c r="F723" s="70"/>
      <c r="G723" s="70"/>
      <c r="H723" s="70"/>
      <c r="I723" s="70"/>
      <c r="J723" s="70"/>
      <c r="K723" s="70"/>
      <c r="L723" s="70"/>
      <c r="M723" s="70"/>
      <c r="N723" s="70"/>
      <c r="O723" s="70"/>
      <c r="P723" s="70"/>
      <c r="Q723" s="70"/>
      <c r="R723" s="70"/>
      <c r="S723" s="70"/>
      <c r="T723" s="70"/>
      <c r="U723" s="70"/>
      <c r="V723" s="70"/>
      <c r="W723" s="70"/>
    </row>
    <row r="724" ht="14.25" customHeight="1">
      <c r="A724" s="70"/>
      <c r="B724" s="70"/>
      <c r="C724" s="70"/>
      <c r="D724" s="70"/>
      <c r="E724" s="5"/>
      <c r="F724" s="70"/>
      <c r="G724" s="70"/>
      <c r="H724" s="70"/>
      <c r="I724" s="70"/>
      <c r="J724" s="70"/>
      <c r="K724" s="70"/>
      <c r="L724" s="70"/>
      <c r="M724" s="70"/>
      <c r="N724" s="70"/>
      <c r="O724" s="70"/>
      <c r="P724" s="70"/>
      <c r="Q724" s="70"/>
      <c r="R724" s="70"/>
      <c r="S724" s="70"/>
      <c r="T724" s="70"/>
      <c r="U724" s="70"/>
      <c r="V724" s="70"/>
      <c r="W724" s="70"/>
    </row>
    <row r="725" ht="14.25" customHeight="1">
      <c r="A725" s="70"/>
      <c r="B725" s="70"/>
      <c r="C725" s="70"/>
      <c r="D725" s="70"/>
      <c r="E725" s="5"/>
      <c r="F725" s="70"/>
      <c r="G725" s="70"/>
      <c r="H725" s="70"/>
      <c r="I725" s="70"/>
      <c r="J725" s="70"/>
      <c r="K725" s="70"/>
      <c r="L725" s="70"/>
      <c r="M725" s="70"/>
      <c r="N725" s="70"/>
      <c r="O725" s="70"/>
      <c r="P725" s="70"/>
      <c r="Q725" s="70"/>
      <c r="R725" s="70"/>
      <c r="S725" s="70"/>
      <c r="T725" s="70"/>
      <c r="U725" s="70"/>
      <c r="V725" s="70"/>
      <c r="W725" s="70"/>
    </row>
    <row r="726" ht="14.25" customHeight="1">
      <c r="A726" s="70"/>
      <c r="B726" s="70"/>
      <c r="C726" s="70"/>
      <c r="D726" s="70"/>
      <c r="E726" s="5"/>
      <c r="F726" s="70"/>
      <c r="G726" s="70"/>
      <c r="H726" s="70"/>
      <c r="I726" s="70"/>
      <c r="J726" s="70"/>
      <c r="K726" s="70"/>
      <c r="L726" s="70"/>
      <c r="M726" s="70"/>
      <c r="N726" s="70"/>
      <c r="O726" s="70"/>
      <c r="P726" s="70"/>
      <c r="Q726" s="70"/>
      <c r="R726" s="70"/>
      <c r="S726" s="70"/>
      <c r="T726" s="70"/>
      <c r="U726" s="70"/>
      <c r="V726" s="70"/>
      <c r="W726" s="70"/>
    </row>
    <row r="727" ht="14.25" customHeight="1">
      <c r="A727" s="70"/>
      <c r="B727" s="70"/>
      <c r="C727" s="70"/>
      <c r="D727" s="70"/>
      <c r="E727" s="5"/>
      <c r="F727" s="70"/>
      <c r="G727" s="70"/>
      <c r="H727" s="70"/>
      <c r="I727" s="70"/>
      <c r="J727" s="70"/>
      <c r="K727" s="70"/>
      <c r="L727" s="70"/>
      <c r="M727" s="70"/>
      <c r="N727" s="70"/>
      <c r="O727" s="70"/>
      <c r="P727" s="70"/>
      <c r="Q727" s="70"/>
      <c r="R727" s="70"/>
      <c r="S727" s="70"/>
      <c r="T727" s="70"/>
      <c r="U727" s="70"/>
      <c r="V727" s="70"/>
      <c r="W727" s="70"/>
    </row>
    <row r="728" ht="14.25" customHeight="1">
      <c r="A728" s="70"/>
      <c r="B728" s="70"/>
      <c r="C728" s="70"/>
      <c r="D728" s="70"/>
      <c r="E728" s="5"/>
      <c r="F728" s="70"/>
      <c r="G728" s="70"/>
      <c r="H728" s="70"/>
      <c r="I728" s="70"/>
      <c r="J728" s="70"/>
      <c r="K728" s="70"/>
      <c r="L728" s="70"/>
      <c r="M728" s="70"/>
      <c r="N728" s="70"/>
      <c r="O728" s="70"/>
      <c r="P728" s="70"/>
      <c r="Q728" s="70"/>
      <c r="R728" s="70"/>
      <c r="S728" s="70"/>
      <c r="T728" s="70"/>
      <c r="U728" s="70"/>
      <c r="V728" s="70"/>
      <c r="W728" s="70"/>
    </row>
    <row r="729" ht="14.25" customHeight="1">
      <c r="A729" s="70"/>
      <c r="B729" s="70"/>
      <c r="C729" s="70"/>
      <c r="D729" s="70"/>
      <c r="E729" s="5"/>
      <c r="F729" s="70"/>
      <c r="G729" s="70"/>
      <c r="H729" s="70"/>
      <c r="I729" s="70"/>
      <c r="J729" s="70"/>
      <c r="K729" s="70"/>
      <c r="L729" s="70"/>
      <c r="M729" s="70"/>
      <c r="N729" s="70"/>
      <c r="O729" s="70"/>
      <c r="P729" s="70"/>
      <c r="Q729" s="70"/>
      <c r="R729" s="70"/>
      <c r="S729" s="70"/>
      <c r="T729" s="70"/>
      <c r="U729" s="70"/>
      <c r="V729" s="70"/>
      <c r="W729" s="70"/>
    </row>
    <row r="730" ht="14.25" customHeight="1">
      <c r="A730" s="70"/>
      <c r="B730" s="70"/>
      <c r="C730" s="70"/>
      <c r="D730" s="70"/>
      <c r="E730" s="5"/>
      <c r="F730" s="70"/>
      <c r="G730" s="70"/>
      <c r="H730" s="70"/>
      <c r="I730" s="70"/>
      <c r="J730" s="70"/>
      <c r="K730" s="70"/>
      <c r="L730" s="70"/>
      <c r="M730" s="70"/>
      <c r="N730" s="70"/>
      <c r="O730" s="70"/>
      <c r="P730" s="70"/>
      <c r="Q730" s="70"/>
      <c r="R730" s="70"/>
      <c r="S730" s="70"/>
      <c r="T730" s="70"/>
      <c r="U730" s="70"/>
      <c r="V730" s="70"/>
      <c r="W730" s="70"/>
    </row>
    <row r="731" ht="14.25" customHeight="1">
      <c r="A731" s="70"/>
      <c r="B731" s="70"/>
      <c r="C731" s="70"/>
      <c r="D731" s="70"/>
      <c r="E731" s="5"/>
      <c r="F731" s="70"/>
      <c r="G731" s="70"/>
      <c r="H731" s="70"/>
      <c r="I731" s="70"/>
      <c r="J731" s="70"/>
      <c r="K731" s="70"/>
      <c r="L731" s="70"/>
      <c r="M731" s="70"/>
      <c r="N731" s="70"/>
      <c r="O731" s="70"/>
      <c r="P731" s="70"/>
      <c r="Q731" s="70"/>
      <c r="R731" s="70"/>
      <c r="S731" s="70"/>
      <c r="T731" s="70"/>
      <c r="U731" s="70"/>
      <c r="V731" s="70"/>
      <c r="W731" s="70"/>
    </row>
    <row r="732" ht="14.25" customHeight="1">
      <c r="A732" s="70"/>
      <c r="B732" s="70"/>
      <c r="C732" s="70"/>
      <c r="D732" s="70"/>
      <c r="E732" s="5"/>
      <c r="F732" s="70"/>
      <c r="G732" s="70"/>
      <c r="H732" s="70"/>
      <c r="I732" s="70"/>
      <c r="J732" s="70"/>
      <c r="K732" s="70"/>
      <c r="L732" s="70"/>
      <c r="M732" s="70"/>
      <c r="N732" s="70"/>
      <c r="O732" s="70"/>
      <c r="P732" s="70"/>
      <c r="Q732" s="70"/>
      <c r="R732" s="70"/>
      <c r="S732" s="70"/>
      <c r="T732" s="70"/>
      <c r="U732" s="70"/>
      <c r="V732" s="70"/>
      <c r="W732" s="70"/>
    </row>
    <row r="733" ht="14.25" customHeight="1">
      <c r="A733" s="70"/>
      <c r="B733" s="70"/>
      <c r="C733" s="70"/>
      <c r="D733" s="70"/>
      <c r="E733" s="5"/>
      <c r="F733" s="70"/>
      <c r="G733" s="70"/>
      <c r="H733" s="70"/>
      <c r="I733" s="70"/>
      <c r="J733" s="70"/>
      <c r="K733" s="70"/>
      <c r="L733" s="70"/>
      <c r="M733" s="70"/>
      <c r="N733" s="70"/>
      <c r="O733" s="70"/>
      <c r="P733" s="70"/>
      <c r="Q733" s="70"/>
      <c r="R733" s="70"/>
      <c r="S733" s="70"/>
      <c r="T733" s="70"/>
      <c r="U733" s="70"/>
      <c r="V733" s="70"/>
      <c r="W733" s="70"/>
    </row>
    <row r="734" ht="14.25" customHeight="1">
      <c r="A734" s="70"/>
      <c r="B734" s="70"/>
      <c r="C734" s="70"/>
      <c r="D734" s="70"/>
      <c r="E734" s="5"/>
      <c r="F734" s="70"/>
      <c r="G734" s="70"/>
      <c r="H734" s="70"/>
      <c r="I734" s="70"/>
      <c r="J734" s="70"/>
      <c r="K734" s="70"/>
      <c r="L734" s="70"/>
      <c r="M734" s="70"/>
      <c r="N734" s="70"/>
      <c r="O734" s="70"/>
      <c r="P734" s="70"/>
      <c r="Q734" s="70"/>
      <c r="R734" s="70"/>
      <c r="S734" s="70"/>
      <c r="T734" s="70"/>
      <c r="U734" s="70"/>
      <c r="V734" s="70"/>
      <c r="W734" s="70"/>
    </row>
    <row r="735" ht="14.25" customHeight="1">
      <c r="A735" s="70"/>
      <c r="B735" s="70"/>
      <c r="C735" s="70"/>
      <c r="D735" s="70"/>
      <c r="E735" s="5"/>
      <c r="F735" s="70"/>
      <c r="G735" s="70"/>
      <c r="H735" s="70"/>
      <c r="I735" s="70"/>
      <c r="J735" s="70"/>
      <c r="K735" s="70"/>
      <c r="L735" s="70"/>
      <c r="M735" s="70"/>
      <c r="N735" s="70"/>
      <c r="O735" s="70"/>
      <c r="P735" s="70"/>
      <c r="Q735" s="70"/>
      <c r="R735" s="70"/>
      <c r="S735" s="70"/>
      <c r="T735" s="70"/>
      <c r="U735" s="70"/>
      <c r="V735" s="70"/>
      <c r="W735" s="70"/>
    </row>
    <row r="736" ht="14.25" customHeight="1">
      <c r="A736" s="70"/>
      <c r="B736" s="70"/>
      <c r="C736" s="70"/>
      <c r="D736" s="70"/>
      <c r="E736" s="5"/>
      <c r="F736" s="70"/>
      <c r="G736" s="70"/>
      <c r="H736" s="70"/>
      <c r="I736" s="70"/>
      <c r="J736" s="70"/>
      <c r="K736" s="70"/>
      <c r="L736" s="70"/>
      <c r="M736" s="70"/>
      <c r="N736" s="70"/>
      <c r="O736" s="70"/>
      <c r="P736" s="70"/>
      <c r="Q736" s="70"/>
      <c r="R736" s="70"/>
      <c r="S736" s="70"/>
      <c r="T736" s="70"/>
      <c r="U736" s="70"/>
      <c r="V736" s="70"/>
      <c r="W736" s="70"/>
    </row>
    <row r="737" ht="14.25" customHeight="1">
      <c r="A737" s="70"/>
      <c r="B737" s="70"/>
      <c r="C737" s="70"/>
      <c r="D737" s="70"/>
      <c r="E737" s="5"/>
      <c r="F737" s="70"/>
      <c r="G737" s="70"/>
      <c r="H737" s="70"/>
      <c r="I737" s="70"/>
      <c r="J737" s="70"/>
      <c r="K737" s="70"/>
      <c r="L737" s="70"/>
      <c r="M737" s="70"/>
      <c r="N737" s="70"/>
      <c r="O737" s="70"/>
      <c r="P737" s="70"/>
      <c r="Q737" s="70"/>
      <c r="R737" s="70"/>
      <c r="S737" s="70"/>
      <c r="T737" s="70"/>
      <c r="U737" s="70"/>
      <c r="V737" s="70"/>
      <c r="W737" s="70"/>
    </row>
    <row r="738" ht="14.25" customHeight="1">
      <c r="A738" s="70"/>
      <c r="B738" s="70"/>
      <c r="C738" s="70"/>
      <c r="D738" s="70"/>
      <c r="E738" s="5"/>
      <c r="F738" s="70"/>
      <c r="G738" s="70"/>
      <c r="H738" s="70"/>
      <c r="I738" s="70"/>
      <c r="J738" s="70"/>
      <c r="K738" s="70"/>
      <c r="L738" s="70"/>
      <c r="M738" s="70"/>
      <c r="N738" s="70"/>
      <c r="O738" s="70"/>
      <c r="P738" s="70"/>
      <c r="Q738" s="70"/>
      <c r="R738" s="70"/>
      <c r="S738" s="70"/>
      <c r="T738" s="70"/>
      <c r="U738" s="70"/>
      <c r="V738" s="70"/>
      <c r="W738" s="70"/>
    </row>
    <row r="739" ht="14.25" customHeight="1">
      <c r="A739" s="70"/>
      <c r="B739" s="70"/>
      <c r="C739" s="70"/>
      <c r="D739" s="70"/>
      <c r="E739" s="5"/>
      <c r="F739" s="70"/>
      <c r="G739" s="70"/>
      <c r="H739" s="70"/>
      <c r="I739" s="70"/>
      <c r="J739" s="70"/>
      <c r="K739" s="70"/>
      <c r="L739" s="70"/>
      <c r="M739" s="70"/>
      <c r="N739" s="70"/>
      <c r="O739" s="70"/>
      <c r="P739" s="70"/>
      <c r="Q739" s="70"/>
      <c r="R739" s="70"/>
      <c r="S739" s="70"/>
      <c r="T739" s="70"/>
      <c r="U739" s="70"/>
      <c r="V739" s="70"/>
      <c r="W739" s="70"/>
    </row>
    <row r="740" ht="14.25" customHeight="1">
      <c r="A740" s="70"/>
      <c r="B740" s="70"/>
      <c r="C740" s="70"/>
      <c r="D740" s="70"/>
      <c r="E740" s="5"/>
      <c r="F740" s="70"/>
      <c r="G740" s="70"/>
      <c r="H740" s="70"/>
      <c r="I740" s="70"/>
      <c r="J740" s="70"/>
      <c r="K740" s="70"/>
      <c r="L740" s="70"/>
      <c r="M740" s="70"/>
      <c r="N740" s="70"/>
      <c r="O740" s="70"/>
      <c r="P740" s="70"/>
      <c r="Q740" s="70"/>
      <c r="R740" s="70"/>
      <c r="S740" s="70"/>
      <c r="T740" s="70"/>
      <c r="U740" s="70"/>
      <c r="V740" s="70"/>
      <c r="W740" s="70"/>
    </row>
    <row r="741" ht="14.25" customHeight="1">
      <c r="A741" s="70"/>
      <c r="B741" s="70"/>
      <c r="C741" s="70"/>
      <c r="D741" s="70"/>
      <c r="E741" s="5"/>
      <c r="F741" s="70"/>
      <c r="G741" s="70"/>
      <c r="H741" s="70"/>
      <c r="I741" s="70"/>
      <c r="J741" s="70"/>
      <c r="K741" s="70"/>
      <c r="L741" s="70"/>
      <c r="M741" s="70"/>
      <c r="N741" s="70"/>
      <c r="O741" s="70"/>
      <c r="P741" s="70"/>
      <c r="Q741" s="70"/>
      <c r="R741" s="70"/>
      <c r="S741" s="70"/>
      <c r="T741" s="70"/>
      <c r="U741" s="70"/>
      <c r="V741" s="70"/>
      <c r="W741" s="70"/>
    </row>
    <row r="742" ht="14.25" customHeight="1">
      <c r="A742" s="70"/>
      <c r="B742" s="70"/>
      <c r="C742" s="70"/>
      <c r="D742" s="70"/>
      <c r="E742" s="5"/>
      <c r="F742" s="70"/>
      <c r="G742" s="70"/>
      <c r="H742" s="70"/>
      <c r="I742" s="70"/>
      <c r="J742" s="70"/>
      <c r="K742" s="70"/>
      <c r="L742" s="70"/>
      <c r="M742" s="70"/>
      <c r="N742" s="70"/>
      <c r="O742" s="70"/>
      <c r="P742" s="70"/>
      <c r="Q742" s="70"/>
      <c r="R742" s="70"/>
      <c r="S742" s="70"/>
      <c r="T742" s="70"/>
      <c r="U742" s="70"/>
      <c r="V742" s="70"/>
      <c r="W742" s="70"/>
    </row>
    <row r="743" ht="14.25" customHeight="1">
      <c r="A743" s="70"/>
      <c r="B743" s="70"/>
      <c r="C743" s="70"/>
      <c r="D743" s="70"/>
      <c r="E743" s="5"/>
      <c r="F743" s="70"/>
      <c r="G743" s="70"/>
      <c r="H743" s="70"/>
      <c r="I743" s="70"/>
      <c r="J743" s="70"/>
      <c r="K743" s="70"/>
      <c r="L743" s="70"/>
      <c r="M743" s="70"/>
      <c r="N743" s="70"/>
      <c r="O743" s="70"/>
      <c r="P743" s="70"/>
      <c r="Q743" s="70"/>
      <c r="R743" s="70"/>
      <c r="S743" s="70"/>
      <c r="T743" s="70"/>
      <c r="U743" s="70"/>
      <c r="V743" s="70"/>
      <c r="W743" s="70"/>
    </row>
    <row r="744" ht="14.25" customHeight="1">
      <c r="A744" s="70"/>
      <c r="B744" s="70"/>
      <c r="C744" s="70"/>
      <c r="D744" s="70"/>
      <c r="E744" s="5"/>
      <c r="F744" s="70"/>
      <c r="G744" s="70"/>
      <c r="H744" s="70"/>
      <c r="I744" s="70"/>
      <c r="J744" s="70"/>
      <c r="K744" s="70"/>
      <c r="L744" s="70"/>
      <c r="M744" s="70"/>
      <c r="N744" s="70"/>
      <c r="O744" s="70"/>
      <c r="P744" s="70"/>
      <c r="Q744" s="70"/>
      <c r="R744" s="70"/>
      <c r="S744" s="70"/>
      <c r="T744" s="70"/>
      <c r="U744" s="70"/>
      <c r="V744" s="70"/>
      <c r="W744" s="70"/>
    </row>
    <row r="745" ht="14.25" customHeight="1">
      <c r="A745" s="70"/>
      <c r="B745" s="70"/>
      <c r="C745" s="70"/>
      <c r="D745" s="70"/>
      <c r="E745" s="5"/>
      <c r="F745" s="70"/>
      <c r="G745" s="70"/>
      <c r="H745" s="70"/>
      <c r="I745" s="70"/>
      <c r="J745" s="70"/>
      <c r="K745" s="70"/>
      <c r="L745" s="70"/>
      <c r="M745" s="70"/>
      <c r="N745" s="70"/>
      <c r="O745" s="70"/>
      <c r="P745" s="70"/>
      <c r="Q745" s="70"/>
      <c r="R745" s="70"/>
      <c r="S745" s="70"/>
      <c r="T745" s="70"/>
      <c r="U745" s="70"/>
      <c r="V745" s="70"/>
      <c r="W745" s="70"/>
    </row>
    <row r="746" ht="14.25" customHeight="1">
      <c r="A746" s="70"/>
      <c r="B746" s="70"/>
      <c r="C746" s="70"/>
      <c r="D746" s="70"/>
      <c r="E746" s="5"/>
      <c r="F746" s="70"/>
      <c r="G746" s="70"/>
      <c r="H746" s="70"/>
      <c r="I746" s="70"/>
      <c r="J746" s="70"/>
      <c r="K746" s="70"/>
      <c r="L746" s="70"/>
      <c r="M746" s="70"/>
      <c r="N746" s="70"/>
      <c r="O746" s="70"/>
      <c r="P746" s="70"/>
      <c r="Q746" s="70"/>
      <c r="R746" s="70"/>
      <c r="S746" s="70"/>
      <c r="T746" s="70"/>
      <c r="U746" s="70"/>
      <c r="V746" s="70"/>
      <c r="W746" s="70"/>
    </row>
    <row r="747" ht="14.25" customHeight="1">
      <c r="A747" s="70"/>
      <c r="B747" s="70"/>
      <c r="C747" s="70"/>
      <c r="D747" s="70"/>
      <c r="E747" s="5"/>
      <c r="F747" s="70"/>
      <c r="G747" s="70"/>
      <c r="H747" s="70"/>
      <c r="I747" s="70"/>
      <c r="J747" s="70"/>
      <c r="K747" s="70"/>
      <c r="L747" s="70"/>
      <c r="M747" s="70"/>
      <c r="N747" s="70"/>
      <c r="O747" s="70"/>
      <c r="P747" s="70"/>
      <c r="Q747" s="70"/>
      <c r="R747" s="70"/>
      <c r="S747" s="70"/>
      <c r="T747" s="70"/>
      <c r="U747" s="70"/>
      <c r="V747" s="70"/>
      <c r="W747" s="70"/>
    </row>
    <row r="748" ht="14.25" customHeight="1">
      <c r="A748" s="70"/>
      <c r="B748" s="70"/>
      <c r="C748" s="70"/>
      <c r="D748" s="70"/>
      <c r="E748" s="5"/>
      <c r="F748" s="70"/>
      <c r="G748" s="70"/>
      <c r="H748" s="70"/>
      <c r="I748" s="70"/>
      <c r="J748" s="70"/>
      <c r="K748" s="70"/>
      <c r="L748" s="70"/>
      <c r="M748" s="70"/>
      <c r="N748" s="70"/>
      <c r="O748" s="70"/>
      <c r="P748" s="70"/>
      <c r="Q748" s="70"/>
      <c r="R748" s="70"/>
      <c r="S748" s="70"/>
      <c r="T748" s="70"/>
      <c r="U748" s="70"/>
      <c r="V748" s="70"/>
      <c r="W748" s="70"/>
    </row>
    <row r="749" ht="14.25" customHeight="1">
      <c r="A749" s="70"/>
      <c r="B749" s="70"/>
      <c r="C749" s="70"/>
      <c r="D749" s="70"/>
      <c r="E749" s="5"/>
      <c r="F749" s="70"/>
      <c r="G749" s="70"/>
      <c r="H749" s="70"/>
      <c r="I749" s="70"/>
      <c r="J749" s="70"/>
      <c r="K749" s="70"/>
      <c r="L749" s="70"/>
      <c r="M749" s="70"/>
      <c r="N749" s="70"/>
      <c r="O749" s="70"/>
      <c r="P749" s="70"/>
      <c r="Q749" s="70"/>
      <c r="R749" s="70"/>
      <c r="S749" s="70"/>
      <c r="T749" s="70"/>
      <c r="U749" s="70"/>
      <c r="V749" s="70"/>
      <c r="W749" s="70"/>
    </row>
    <row r="750" ht="14.25" customHeight="1">
      <c r="A750" s="70"/>
      <c r="B750" s="70"/>
      <c r="C750" s="70"/>
      <c r="D750" s="70"/>
      <c r="E750" s="5"/>
      <c r="F750" s="70"/>
      <c r="G750" s="70"/>
      <c r="H750" s="70"/>
      <c r="I750" s="70"/>
      <c r="J750" s="70"/>
      <c r="K750" s="70"/>
      <c r="L750" s="70"/>
      <c r="M750" s="70"/>
      <c r="N750" s="70"/>
      <c r="O750" s="70"/>
      <c r="P750" s="70"/>
      <c r="Q750" s="70"/>
      <c r="R750" s="70"/>
      <c r="S750" s="70"/>
      <c r="T750" s="70"/>
      <c r="U750" s="70"/>
      <c r="V750" s="70"/>
      <c r="W750" s="70"/>
    </row>
    <row r="751" ht="14.25" customHeight="1">
      <c r="A751" s="70"/>
      <c r="B751" s="70"/>
      <c r="C751" s="70"/>
      <c r="D751" s="70"/>
      <c r="E751" s="5"/>
      <c r="F751" s="70"/>
      <c r="G751" s="70"/>
      <c r="H751" s="70"/>
      <c r="I751" s="70"/>
      <c r="J751" s="70"/>
      <c r="K751" s="70"/>
      <c r="L751" s="70"/>
      <c r="M751" s="70"/>
      <c r="N751" s="70"/>
      <c r="O751" s="70"/>
      <c r="P751" s="70"/>
      <c r="Q751" s="70"/>
      <c r="R751" s="70"/>
      <c r="S751" s="70"/>
      <c r="T751" s="70"/>
      <c r="U751" s="70"/>
      <c r="V751" s="70"/>
      <c r="W751" s="70"/>
    </row>
    <row r="752" ht="14.25" customHeight="1">
      <c r="A752" s="70"/>
      <c r="B752" s="70"/>
      <c r="C752" s="70"/>
      <c r="D752" s="70"/>
      <c r="E752" s="5"/>
      <c r="F752" s="70"/>
      <c r="G752" s="70"/>
      <c r="H752" s="70"/>
      <c r="I752" s="70"/>
      <c r="J752" s="70"/>
      <c r="K752" s="70"/>
      <c r="L752" s="70"/>
      <c r="M752" s="70"/>
      <c r="N752" s="70"/>
      <c r="O752" s="70"/>
      <c r="P752" s="70"/>
      <c r="Q752" s="70"/>
      <c r="R752" s="70"/>
      <c r="S752" s="70"/>
      <c r="T752" s="70"/>
      <c r="U752" s="70"/>
      <c r="V752" s="70"/>
      <c r="W752" s="70"/>
    </row>
    <row r="753" ht="14.25" customHeight="1">
      <c r="A753" s="70"/>
      <c r="B753" s="70"/>
      <c r="C753" s="70"/>
      <c r="D753" s="70"/>
      <c r="E753" s="5"/>
      <c r="F753" s="70"/>
      <c r="G753" s="70"/>
      <c r="H753" s="70"/>
      <c r="I753" s="70"/>
      <c r="J753" s="70"/>
      <c r="K753" s="70"/>
      <c r="L753" s="70"/>
      <c r="M753" s="70"/>
      <c r="N753" s="70"/>
      <c r="O753" s="70"/>
      <c r="P753" s="70"/>
      <c r="Q753" s="70"/>
      <c r="R753" s="70"/>
      <c r="S753" s="70"/>
      <c r="T753" s="70"/>
      <c r="U753" s="70"/>
      <c r="V753" s="70"/>
      <c r="W753" s="70"/>
    </row>
    <row r="754" ht="14.25" customHeight="1">
      <c r="A754" s="70"/>
      <c r="B754" s="70"/>
      <c r="C754" s="70"/>
      <c r="D754" s="70"/>
      <c r="E754" s="5"/>
      <c r="F754" s="70"/>
      <c r="G754" s="70"/>
      <c r="H754" s="70"/>
      <c r="I754" s="70"/>
      <c r="J754" s="70"/>
      <c r="K754" s="70"/>
      <c r="L754" s="70"/>
      <c r="M754" s="70"/>
      <c r="N754" s="70"/>
      <c r="O754" s="70"/>
      <c r="P754" s="70"/>
      <c r="Q754" s="70"/>
      <c r="R754" s="70"/>
      <c r="S754" s="70"/>
      <c r="T754" s="70"/>
      <c r="U754" s="70"/>
      <c r="V754" s="70"/>
      <c r="W754" s="70"/>
    </row>
    <row r="755" ht="14.25" customHeight="1">
      <c r="A755" s="70"/>
      <c r="B755" s="70"/>
      <c r="C755" s="70"/>
      <c r="D755" s="70"/>
      <c r="E755" s="5"/>
      <c r="F755" s="70"/>
      <c r="G755" s="70"/>
      <c r="H755" s="70"/>
      <c r="I755" s="70"/>
      <c r="J755" s="70"/>
      <c r="K755" s="70"/>
      <c r="L755" s="70"/>
      <c r="M755" s="70"/>
      <c r="N755" s="70"/>
      <c r="O755" s="70"/>
      <c r="P755" s="70"/>
      <c r="Q755" s="70"/>
      <c r="R755" s="70"/>
      <c r="S755" s="70"/>
      <c r="T755" s="70"/>
      <c r="U755" s="70"/>
      <c r="V755" s="70"/>
      <c r="W755" s="70"/>
    </row>
    <row r="756" ht="14.25" customHeight="1">
      <c r="A756" s="70"/>
      <c r="B756" s="70"/>
      <c r="C756" s="70"/>
      <c r="D756" s="70"/>
      <c r="E756" s="5"/>
      <c r="F756" s="70"/>
      <c r="G756" s="70"/>
      <c r="H756" s="70"/>
      <c r="I756" s="70"/>
      <c r="J756" s="70"/>
      <c r="K756" s="70"/>
      <c r="L756" s="70"/>
      <c r="M756" s="70"/>
      <c r="N756" s="70"/>
      <c r="O756" s="70"/>
      <c r="P756" s="70"/>
      <c r="Q756" s="70"/>
      <c r="R756" s="70"/>
      <c r="S756" s="70"/>
      <c r="T756" s="70"/>
      <c r="U756" s="70"/>
      <c r="V756" s="70"/>
      <c r="W756" s="70"/>
    </row>
    <row r="757" ht="14.25" customHeight="1">
      <c r="A757" s="70"/>
      <c r="B757" s="70"/>
      <c r="C757" s="70"/>
      <c r="D757" s="70"/>
      <c r="E757" s="5"/>
      <c r="F757" s="70"/>
      <c r="G757" s="70"/>
      <c r="H757" s="70"/>
      <c r="I757" s="70"/>
      <c r="J757" s="70"/>
      <c r="K757" s="70"/>
      <c r="L757" s="70"/>
      <c r="M757" s="70"/>
      <c r="N757" s="70"/>
      <c r="O757" s="70"/>
      <c r="P757" s="70"/>
      <c r="Q757" s="70"/>
      <c r="R757" s="70"/>
      <c r="S757" s="70"/>
      <c r="T757" s="70"/>
      <c r="U757" s="70"/>
      <c r="V757" s="70"/>
      <c r="W757" s="70"/>
    </row>
    <row r="758" ht="14.25" customHeight="1">
      <c r="A758" s="70"/>
      <c r="B758" s="70"/>
      <c r="C758" s="70"/>
      <c r="D758" s="70"/>
      <c r="E758" s="5"/>
      <c r="F758" s="70"/>
      <c r="G758" s="70"/>
      <c r="H758" s="70"/>
      <c r="I758" s="70"/>
      <c r="J758" s="70"/>
      <c r="K758" s="70"/>
      <c r="L758" s="70"/>
      <c r="M758" s="70"/>
      <c r="N758" s="70"/>
      <c r="O758" s="70"/>
      <c r="P758" s="70"/>
      <c r="Q758" s="70"/>
      <c r="R758" s="70"/>
      <c r="S758" s="70"/>
      <c r="T758" s="70"/>
      <c r="U758" s="70"/>
      <c r="V758" s="70"/>
      <c r="W758" s="70"/>
    </row>
    <row r="759" ht="14.25" customHeight="1">
      <c r="A759" s="70"/>
      <c r="B759" s="70"/>
      <c r="C759" s="70"/>
      <c r="D759" s="70"/>
      <c r="E759" s="5"/>
      <c r="F759" s="70"/>
      <c r="G759" s="70"/>
      <c r="H759" s="70"/>
      <c r="I759" s="70"/>
      <c r="J759" s="70"/>
      <c r="K759" s="70"/>
      <c r="L759" s="70"/>
      <c r="M759" s="70"/>
      <c r="N759" s="70"/>
      <c r="O759" s="70"/>
      <c r="P759" s="70"/>
      <c r="Q759" s="70"/>
      <c r="R759" s="70"/>
      <c r="S759" s="70"/>
      <c r="T759" s="70"/>
      <c r="U759" s="70"/>
      <c r="V759" s="70"/>
      <c r="W759" s="70"/>
    </row>
    <row r="760" ht="14.25" customHeight="1">
      <c r="A760" s="70"/>
      <c r="B760" s="70"/>
      <c r="C760" s="70"/>
      <c r="D760" s="70"/>
      <c r="E760" s="5"/>
      <c r="F760" s="70"/>
      <c r="G760" s="70"/>
      <c r="H760" s="70"/>
      <c r="I760" s="70"/>
      <c r="J760" s="70"/>
      <c r="K760" s="70"/>
      <c r="L760" s="70"/>
      <c r="M760" s="70"/>
      <c r="N760" s="70"/>
      <c r="O760" s="70"/>
      <c r="P760" s="70"/>
      <c r="Q760" s="70"/>
      <c r="R760" s="70"/>
      <c r="S760" s="70"/>
      <c r="T760" s="70"/>
      <c r="U760" s="70"/>
      <c r="V760" s="70"/>
      <c r="W760" s="70"/>
    </row>
    <row r="761" ht="14.25" customHeight="1">
      <c r="A761" s="70"/>
      <c r="B761" s="70"/>
      <c r="C761" s="70"/>
      <c r="D761" s="70"/>
      <c r="E761" s="5"/>
      <c r="F761" s="70"/>
      <c r="G761" s="70"/>
      <c r="H761" s="70"/>
      <c r="I761" s="70"/>
      <c r="J761" s="70"/>
      <c r="K761" s="70"/>
      <c r="L761" s="70"/>
      <c r="M761" s="70"/>
      <c r="N761" s="70"/>
      <c r="O761" s="70"/>
      <c r="P761" s="70"/>
      <c r="Q761" s="70"/>
      <c r="R761" s="70"/>
      <c r="S761" s="70"/>
      <c r="T761" s="70"/>
      <c r="U761" s="70"/>
      <c r="V761" s="70"/>
      <c r="W761" s="70"/>
    </row>
    <row r="762" ht="14.25" customHeight="1">
      <c r="A762" s="70"/>
      <c r="B762" s="70"/>
      <c r="C762" s="70"/>
      <c r="D762" s="70"/>
      <c r="E762" s="5"/>
      <c r="F762" s="70"/>
      <c r="G762" s="70"/>
      <c r="H762" s="70"/>
      <c r="I762" s="70"/>
      <c r="J762" s="70"/>
      <c r="K762" s="70"/>
      <c r="L762" s="70"/>
      <c r="M762" s="70"/>
      <c r="N762" s="70"/>
      <c r="O762" s="70"/>
      <c r="P762" s="70"/>
      <c r="Q762" s="70"/>
      <c r="R762" s="70"/>
      <c r="S762" s="70"/>
      <c r="T762" s="70"/>
      <c r="U762" s="70"/>
      <c r="V762" s="70"/>
      <c r="W762" s="70"/>
    </row>
    <row r="763" ht="14.25" customHeight="1">
      <c r="A763" s="70"/>
      <c r="B763" s="70"/>
      <c r="C763" s="70"/>
      <c r="D763" s="70"/>
      <c r="E763" s="5"/>
      <c r="F763" s="70"/>
      <c r="G763" s="70"/>
      <c r="H763" s="70"/>
      <c r="I763" s="70"/>
      <c r="J763" s="70"/>
      <c r="K763" s="70"/>
      <c r="L763" s="70"/>
      <c r="M763" s="70"/>
      <c r="N763" s="70"/>
      <c r="O763" s="70"/>
      <c r="P763" s="70"/>
      <c r="Q763" s="70"/>
      <c r="R763" s="70"/>
      <c r="S763" s="70"/>
      <c r="T763" s="70"/>
      <c r="U763" s="70"/>
      <c r="V763" s="70"/>
      <c r="W763" s="70"/>
    </row>
    <row r="764" ht="14.25" customHeight="1">
      <c r="A764" s="70"/>
      <c r="B764" s="70"/>
      <c r="C764" s="70"/>
      <c r="D764" s="70"/>
      <c r="E764" s="5"/>
      <c r="F764" s="70"/>
      <c r="G764" s="70"/>
      <c r="H764" s="70"/>
      <c r="I764" s="70"/>
      <c r="J764" s="70"/>
      <c r="K764" s="70"/>
      <c r="L764" s="70"/>
      <c r="M764" s="70"/>
      <c r="N764" s="70"/>
      <c r="O764" s="70"/>
      <c r="P764" s="70"/>
      <c r="Q764" s="70"/>
      <c r="R764" s="70"/>
      <c r="S764" s="70"/>
      <c r="T764" s="70"/>
      <c r="U764" s="70"/>
      <c r="V764" s="70"/>
      <c r="W764" s="70"/>
    </row>
    <row r="765" ht="14.25" customHeight="1">
      <c r="A765" s="70"/>
      <c r="B765" s="70"/>
      <c r="C765" s="70"/>
      <c r="D765" s="70"/>
      <c r="E765" s="5"/>
      <c r="F765" s="70"/>
      <c r="G765" s="70"/>
      <c r="H765" s="70"/>
      <c r="I765" s="70"/>
      <c r="J765" s="70"/>
      <c r="K765" s="70"/>
      <c r="L765" s="70"/>
      <c r="M765" s="70"/>
      <c r="N765" s="70"/>
      <c r="O765" s="70"/>
      <c r="P765" s="70"/>
      <c r="Q765" s="70"/>
      <c r="R765" s="70"/>
      <c r="S765" s="70"/>
      <c r="T765" s="70"/>
      <c r="U765" s="70"/>
      <c r="V765" s="70"/>
      <c r="W765" s="70"/>
    </row>
    <row r="766" ht="14.25" customHeight="1">
      <c r="A766" s="70"/>
      <c r="B766" s="70"/>
      <c r="C766" s="70"/>
      <c r="D766" s="70"/>
      <c r="E766" s="5"/>
      <c r="F766" s="70"/>
      <c r="G766" s="70"/>
      <c r="H766" s="70"/>
      <c r="I766" s="70"/>
      <c r="J766" s="70"/>
      <c r="K766" s="70"/>
      <c r="L766" s="70"/>
      <c r="M766" s="70"/>
      <c r="N766" s="70"/>
      <c r="O766" s="70"/>
      <c r="P766" s="70"/>
      <c r="Q766" s="70"/>
      <c r="R766" s="70"/>
      <c r="S766" s="70"/>
      <c r="T766" s="70"/>
      <c r="U766" s="70"/>
      <c r="V766" s="70"/>
      <c r="W766" s="70"/>
    </row>
    <row r="767" ht="14.25" customHeight="1">
      <c r="A767" s="70"/>
      <c r="B767" s="70"/>
      <c r="C767" s="70"/>
      <c r="D767" s="70"/>
      <c r="E767" s="5"/>
      <c r="F767" s="70"/>
      <c r="G767" s="70"/>
      <c r="H767" s="70"/>
      <c r="I767" s="70"/>
      <c r="J767" s="70"/>
      <c r="K767" s="70"/>
      <c r="L767" s="70"/>
      <c r="M767" s="70"/>
      <c r="N767" s="70"/>
      <c r="O767" s="70"/>
      <c r="P767" s="70"/>
      <c r="Q767" s="70"/>
      <c r="R767" s="70"/>
      <c r="S767" s="70"/>
      <c r="T767" s="70"/>
      <c r="U767" s="70"/>
      <c r="V767" s="70"/>
      <c r="W767" s="70"/>
    </row>
    <row r="768" ht="14.25" customHeight="1">
      <c r="A768" s="70"/>
      <c r="B768" s="70"/>
      <c r="C768" s="70"/>
      <c r="D768" s="70"/>
      <c r="E768" s="5"/>
      <c r="F768" s="70"/>
      <c r="G768" s="70"/>
      <c r="H768" s="70"/>
      <c r="I768" s="70"/>
      <c r="J768" s="70"/>
      <c r="K768" s="70"/>
      <c r="L768" s="70"/>
      <c r="M768" s="70"/>
      <c r="N768" s="70"/>
      <c r="O768" s="70"/>
      <c r="P768" s="70"/>
      <c r="Q768" s="70"/>
      <c r="R768" s="70"/>
      <c r="S768" s="70"/>
      <c r="T768" s="70"/>
      <c r="U768" s="70"/>
      <c r="V768" s="70"/>
      <c r="W768" s="70"/>
    </row>
    <row r="769" ht="14.25" customHeight="1">
      <c r="A769" s="70"/>
      <c r="B769" s="70"/>
      <c r="C769" s="70"/>
      <c r="D769" s="70"/>
      <c r="E769" s="5"/>
      <c r="F769" s="70"/>
      <c r="G769" s="70"/>
      <c r="H769" s="70"/>
      <c r="I769" s="70"/>
      <c r="J769" s="70"/>
      <c r="K769" s="70"/>
      <c r="L769" s="70"/>
      <c r="M769" s="70"/>
      <c r="N769" s="70"/>
      <c r="O769" s="70"/>
      <c r="P769" s="70"/>
      <c r="Q769" s="70"/>
      <c r="R769" s="70"/>
      <c r="S769" s="70"/>
      <c r="T769" s="70"/>
      <c r="U769" s="70"/>
      <c r="V769" s="70"/>
      <c r="W769" s="70"/>
    </row>
    <row r="770" ht="14.25" customHeight="1">
      <c r="A770" s="70"/>
      <c r="B770" s="70"/>
      <c r="C770" s="70"/>
      <c r="D770" s="70"/>
      <c r="E770" s="5"/>
      <c r="F770" s="70"/>
      <c r="G770" s="70"/>
      <c r="H770" s="70"/>
      <c r="I770" s="70"/>
      <c r="J770" s="70"/>
      <c r="K770" s="70"/>
      <c r="L770" s="70"/>
      <c r="M770" s="70"/>
      <c r="N770" s="70"/>
      <c r="O770" s="70"/>
      <c r="P770" s="70"/>
      <c r="Q770" s="70"/>
      <c r="R770" s="70"/>
      <c r="S770" s="70"/>
      <c r="T770" s="70"/>
      <c r="U770" s="70"/>
      <c r="V770" s="70"/>
      <c r="W770" s="70"/>
    </row>
    <row r="771" ht="14.25" customHeight="1">
      <c r="A771" s="70"/>
      <c r="B771" s="70"/>
      <c r="C771" s="70"/>
      <c r="D771" s="70"/>
      <c r="E771" s="5"/>
      <c r="F771" s="70"/>
      <c r="G771" s="70"/>
      <c r="H771" s="70"/>
      <c r="I771" s="70"/>
      <c r="J771" s="70"/>
      <c r="K771" s="70"/>
      <c r="L771" s="70"/>
      <c r="M771" s="70"/>
      <c r="N771" s="70"/>
      <c r="O771" s="70"/>
      <c r="P771" s="70"/>
      <c r="Q771" s="70"/>
      <c r="R771" s="70"/>
      <c r="S771" s="70"/>
      <c r="T771" s="70"/>
      <c r="U771" s="70"/>
      <c r="V771" s="70"/>
      <c r="W771" s="70"/>
    </row>
    <row r="772" ht="14.25" customHeight="1">
      <c r="A772" s="70"/>
      <c r="B772" s="70"/>
      <c r="C772" s="70"/>
      <c r="D772" s="70"/>
      <c r="E772" s="5"/>
      <c r="F772" s="70"/>
      <c r="G772" s="70"/>
      <c r="H772" s="70"/>
      <c r="I772" s="70"/>
      <c r="J772" s="70"/>
      <c r="K772" s="70"/>
      <c r="L772" s="70"/>
      <c r="M772" s="70"/>
      <c r="N772" s="70"/>
      <c r="O772" s="70"/>
      <c r="P772" s="70"/>
      <c r="Q772" s="70"/>
      <c r="R772" s="70"/>
      <c r="S772" s="70"/>
      <c r="T772" s="70"/>
      <c r="U772" s="70"/>
      <c r="V772" s="70"/>
      <c r="W772" s="70"/>
    </row>
    <row r="773" ht="14.25" customHeight="1">
      <c r="A773" s="70"/>
      <c r="B773" s="70"/>
      <c r="C773" s="70"/>
      <c r="D773" s="70"/>
      <c r="E773" s="5"/>
      <c r="F773" s="70"/>
      <c r="G773" s="70"/>
      <c r="H773" s="70"/>
      <c r="I773" s="70"/>
      <c r="J773" s="70"/>
      <c r="K773" s="70"/>
      <c r="L773" s="70"/>
      <c r="M773" s="70"/>
      <c r="N773" s="70"/>
      <c r="O773" s="70"/>
      <c r="P773" s="70"/>
      <c r="Q773" s="70"/>
      <c r="R773" s="70"/>
      <c r="S773" s="70"/>
      <c r="T773" s="70"/>
      <c r="U773" s="70"/>
      <c r="V773" s="70"/>
      <c r="W773" s="70"/>
    </row>
    <row r="774" ht="14.25" customHeight="1">
      <c r="A774" s="70"/>
      <c r="B774" s="70"/>
      <c r="C774" s="70"/>
      <c r="D774" s="70"/>
      <c r="E774" s="5"/>
      <c r="F774" s="70"/>
      <c r="G774" s="70"/>
      <c r="H774" s="70"/>
      <c r="I774" s="70"/>
      <c r="J774" s="70"/>
      <c r="K774" s="70"/>
      <c r="L774" s="70"/>
      <c r="M774" s="70"/>
      <c r="N774" s="70"/>
      <c r="O774" s="70"/>
      <c r="P774" s="70"/>
      <c r="Q774" s="70"/>
      <c r="R774" s="70"/>
      <c r="S774" s="70"/>
      <c r="T774" s="70"/>
      <c r="U774" s="70"/>
      <c r="V774" s="70"/>
      <c r="W774" s="70"/>
    </row>
    <row r="775" ht="14.25" customHeight="1">
      <c r="A775" s="70"/>
      <c r="B775" s="70"/>
      <c r="C775" s="70"/>
      <c r="D775" s="70"/>
      <c r="E775" s="5"/>
      <c r="F775" s="70"/>
      <c r="G775" s="70"/>
      <c r="H775" s="70"/>
      <c r="I775" s="70"/>
      <c r="J775" s="70"/>
      <c r="K775" s="70"/>
      <c r="L775" s="70"/>
      <c r="M775" s="70"/>
      <c r="N775" s="70"/>
      <c r="O775" s="70"/>
      <c r="P775" s="70"/>
      <c r="Q775" s="70"/>
      <c r="R775" s="70"/>
      <c r="S775" s="70"/>
      <c r="T775" s="70"/>
      <c r="U775" s="70"/>
      <c r="V775" s="70"/>
      <c r="W775" s="70"/>
    </row>
    <row r="776" ht="14.25" customHeight="1">
      <c r="A776" s="70"/>
      <c r="B776" s="70"/>
      <c r="C776" s="70"/>
      <c r="D776" s="70"/>
      <c r="E776" s="5"/>
      <c r="F776" s="70"/>
      <c r="G776" s="70"/>
      <c r="H776" s="70"/>
      <c r="I776" s="70"/>
      <c r="J776" s="70"/>
      <c r="K776" s="70"/>
      <c r="L776" s="70"/>
      <c r="M776" s="70"/>
      <c r="N776" s="70"/>
      <c r="O776" s="70"/>
      <c r="P776" s="70"/>
      <c r="Q776" s="70"/>
      <c r="R776" s="70"/>
      <c r="S776" s="70"/>
      <c r="T776" s="70"/>
      <c r="U776" s="70"/>
      <c r="V776" s="70"/>
      <c r="W776" s="70"/>
    </row>
    <row r="777" ht="14.25" customHeight="1">
      <c r="A777" s="70"/>
      <c r="B777" s="70"/>
      <c r="C777" s="70"/>
      <c r="D777" s="70"/>
      <c r="E777" s="5"/>
      <c r="F777" s="70"/>
      <c r="G777" s="70"/>
      <c r="H777" s="70"/>
      <c r="I777" s="70"/>
      <c r="J777" s="70"/>
      <c r="K777" s="70"/>
      <c r="L777" s="70"/>
      <c r="M777" s="70"/>
      <c r="N777" s="70"/>
      <c r="O777" s="70"/>
      <c r="P777" s="70"/>
      <c r="Q777" s="70"/>
      <c r="R777" s="70"/>
      <c r="S777" s="70"/>
      <c r="T777" s="70"/>
      <c r="U777" s="70"/>
      <c r="V777" s="70"/>
      <c r="W777" s="70"/>
    </row>
    <row r="778" ht="14.25" customHeight="1">
      <c r="A778" s="70"/>
      <c r="B778" s="70"/>
      <c r="C778" s="70"/>
      <c r="D778" s="70"/>
      <c r="E778" s="5"/>
      <c r="F778" s="70"/>
      <c r="G778" s="70"/>
      <c r="H778" s="70"/>
      <c r="I778" s="70"/>
      <c r="J778" s="70"/>
      <c r="K778" s="70"/>
      <c r="L778" s="70"/>
      <c r="M778" s="70"/>
      <c r="N778" s="70"/>
      <c r="O778" s="70"/>
      <c r="P778" s="70"/>
      <c r="Q778" s="70"/>
      <c r="R778" s="70"/>
      <c r="S778" s="70"/>
      <c r="T778" s="70"/>
      <c r="U778" s="70"/>
      <c r="V778" s="70"/>
      <c r="W778" s="70"/>
    </row>
    <row r="779" ht="14.25" customHeight="1">
      <c r="A779" s="70"/>
      <c r="B779" s="70"/>
      <c r="C779" s="70"/>
      <c r="D779" s="70"/>
      <c r="E779" s="5"/>
      <c r="F779" s="70"/>
      <c r="G779" s="70"/>
      <c r="H779" s="70"/>
      <c r="I779" s="70"/>
      <c r="J779" s="70"/>
      <c r="K779" s="70"/>
      <c r="L779" s="70"/>
      <c r="M779" s="70"/>
      <c r="N779" s="70"/>
      <c r="O779" s="70"/>
      <c r="P779" s="70"/>
      <c r="Q779" s="70"/>
      <c r="R779" s="70"/>
      <c r="S779" s="70"/>
      <c r="T779" s="70"/>
      <c r="U779" s="70"/>
      <c r="V779" s="70"/>
      <c r="W779" s="70"/>
    </row>
    <row r="780" ht="14.25" customHeight="1">
      <c r="A780" s="70"/>
      <c r="B780" s="70"/>
      <c r="C780" s="70"/>
      <c r="D780" s="70"/>
      <c r="E780" s="5"/>
      <c r="F780" s="70"/>
      <c r="G780" s="70"/>
      <c r="H780" s="70"/>
      <c r="I780" s="70"/>
      <c r="J780" s="70"/>
      <c r="K780" s="70"/>
      <c r="L780" s="70"/>
      <c r="M780" s="70"/>
      <c r="N780" s="70"/>
      <c r="O780" s="70"/>
      <c r="P780" s="70"/>
      <c r="Q780" s="70"/>
      <c r="R780" s="70"/>
      <c r="S780" s="70"/>
      <c r="T780" s="70"/>
      <c r="U780" s="70"/>
      <c r="V780" s="70"/>
      <c r="W780" s="70"/>
    </row>
    <row r="781" ht="14.25" customHeight="1">
      <c r="A781" s="70"/>
      <c r="B781" s="70"/>
      <c r="C781" s="70"/>
      <c r="D781" s="70"/>
      <c r="E781" s="5"/>
      <c r="F781" s="70"/>
      <c r="G781" s="70"/>
      <c r="H781" s="70"/>
      <c r="I781" s="70"/>
      <c r="J781" s="70"/>
      <c r="K781" s="70"/>
      <c r="L781" s="70"/>
      <c r="M781" s="70"/>
      <c r="N781" s="70"/>
      <c r="O781" s="70"/>
      <c r="P781" s="70"/>
      <c r="Q781" s="70"/>
      <c r="R781" s="70"/>
      <c r="S781" s="70"/>
      <c r="T781" s="70"/>
      <c r="U781" s="70"/>
      <c r="V781" s="70"/>
      <c r="W781" s="70"/>
    </row>
    <row r="782" ht="14.25" customHeight="1">
      <c r="A782" s="70"/>
      <c r="B782" s="70"/>
      <c r="C782" s="70"/>
      <c r="D782" s="70"/>
      <c r="E782" s="5"/>
      <c r="F782" s="70"/>
      <c r="G782" s="70"/>
      <c r="H782" s="70"/>
      <c r="I782" s="70"/>
      <c r="J782" s="70"/>
      <c r="K782" s="70"/>
      <c r="L782" s="70"/>
      <c r="M782" s="70"/>
      <c r="N782" s="70"/>
      <c r="O782" s="70"/>
      <c r="P782" s="70"/>
      <c r="Q782" s="70"/>
      <c r="R782" s="70"/>
      <c r="S782" s="70"/>
      <c r="T782" s="70"/>
      <c r="U782" s="70"/>
      <c r="V782" s="70"/>
      <c r="W782" s="70"/>
    </row>
    <row r="783" ht="14.25" customHeight="1">
      <c r="A783" s="70"/>
      <c r="B783" s="70"/>
      <c r="C783" s="70"/>
      <c r="D783" s="70"/>
      <c r="E783" s="5"/>
      <c r="F783" s="70"/>
      <c r="G783" s="70"/>
      <c r="H783" s="70"/>
      <c r="I783" s="70"/>
      <c r="J783" s="70"/>
      <c r="K783" s="70"/>
      <c r="L783" s="70"/>
      <c r="M783" s="70"/>
      <c r="N783" s="70"/>
      <c r="O783" s="70"/>
      <c r="P783" s="70"/>
      <c r="Q783" s="70"/>
      <c r="R783" s="70"/>
      <c r="S783" s="70"/>
      <c r="T783" s="70"/>
      <c r="U783" s="70"/>
      <c r="V783" s="70"/>
      <c r="W783" s="70"/>
    </row>
    <row r="784" ht="14.25" customHeight="1">
      <c r="A784" s="70"/>
      <c r="B784" s="70"/>
      <c r="C784" s="70"/>
      <c r="D784" s="70"/>
      <c r="E784" s="5"/>
      <c r="F784" s="70"/>
      <c r="G784" s="70"/>
      <c r="H784" s="70"/>
      <c r="I784" s="70"/>
      <c r="J784" s="70"/>
      <c r="K784" s="70"/>
      <c r="L784" s="70"/>
      <c r="M784" s="70"/>
      <c r="N784" s="70"/>
      <c r="O784" s="70"/>
      <c r="P784" s="70"/>
      <c r="Q784" s="70"/>
      <c r="R784" s="70"/>
      <c r="S784" s="70"/>
      <c r="T784" s="70"/>
      <c r="U784" s="70"/>
      <c r="V784" s="70"/>
      <c r="W784" s="70"/>
    </row>
    <row r="785" ht="14.25" customHeight="1">
      <c r="A785" s="70"/>
      <c r="B785" s="70"/>
      <c r="C785" s="70"/>
      <c r="D785" s="70"/>
      <c r="E785" s="5"/>
      <c r="F785" s="70"/>
      <c r="G785" s="70"/>
      <c r="H785" s="70"/>
      <c r="I785" s="70"/>
      <c r="J785" s="70"/>
      <c r="K785" s="70"/>
      <c r="L785" s="70"/>
      <c r="M785" s="70"/>
      <c r="N785" s="70"/>
      <c r="O785" s="70"/>
      <c r="P785" s="70"/>
      <c r="Q785" s="70"/>
      <c r="R785" s="70"/>
      <c r="S785" s="70"/>
      <c r="T785" s="70"/>
      <c r="U785" s="70"/>
      <c r="V785" s="70"/>
      <c r="W785" s="70"/>
    </row>
    <row r="786" ht="14.25" customHeight="1">
      <c r="A786" s="70"/>
      <c r="B786" s="70"/>
      <c r="C786" s="70"/>
      <c r="D786" s="70"/>
      <c r="E786" s="5"/>
      <c r="F786" s="70"/>
      <c r="G786" s="70"/>
      <c r="H786" s="70"/>
      <c r="I786" s="70"/>
      <c r="J786" s="70"/>
      <c r="K786" s="70"/>
      <c r="L786" s="70"/>
      <c r="M786" s="70"/>
      <c r="N786" s="70"/>
      <c r="O786" s="70"/>
      <c r="P786" s="70"/>
      <c r="Q786" s="70"/>
      <c r="R786" s="70"/>
      <c r="S786" s="70"/>
      <c r="T786" s="70"/>
      <c r="U786" s="70"/>
      <c r="V786" s="70"/>
      <c r="W786" s="70"/>
    </row>
    <row r="787" ht="14.25" customHeight="1">
      <c r="A787" s="70"/>
      <c r="B787" s="70"/>
      <c r="C787" s="70"/>
      <c r="D787" s="70"/>
      <c r="E787" s="5"/>
      <c r="F787" s="70"/>
      <c r="G787" s="70"/>
      <c r="H787" s="70"/>
      <c r="I787" s="70"/>
      <c r="J787" s="70"/>
      <c r="K787" s="70"/>
      <c r="L787" s="70"/>
      <c r="M787" s="70"/>
      <c r="N787" s="70"/>
      <c r="O787" s="70"/>
      <c r="P787" s="70"/>
      <c r="Q787" s="70"/>
      <c r="R787" s="70"/>
      <c r="S787" s="70"/>
      <c r="T787" s="70"/>
      <c r="U787" s="70"/>
      <c r="V787" s="70"/>
      <c r="W787" s="70"/>
    </row>
    <row r="788" ht="14.25" customHeight="1">
      <c r="A788" s="70"/>
      <c r="B788" s="70"/>
      <c r="C788" s="70"/>
      <c r="D788" s="70"/>
      <c r="E788" s="5"/>
      <c r="F788" s="70"/>
      <c r="G788" s="70"/>
      <c r="H788" s="70"/>
      <c r="I788" s="70"/>
      <c r="J788" s="70"/>
      <c r="K788" s="70"/>
      <c r="L788" s="70"/>
      <c r="M788" s="70"/>
      <c r="N788" s="70"/>
      <c r="O788" s="70"/>
      <c r="P788" s="70"/>
      <c r="Q788" s="70"/>
      <c r="R788" s="70"/>
      <c r="S788" s="70"/>
      <c r="T788" s="70"/>
      <c r="U788" s="70"/>
      <c r="V788" s="70"/>
      <c r="W788" s="70"/>
    </row>
    <row r="789" ht="14.25" customHeight="1">
      <c r="A789" s="70"/>
      <c r="B789" s="70"/>
      <c r="C789" s="70"/>
      <c r="D789" s="70"/>
      <c r="E789" s="5"/>
      <c r="F789" s="70"/>
      <c r="G789" s="70"/>
      <c r="H789" s="70"/>
      <c r="I789" s="70"/>
      <c r="J789" s="70"/>
      <c r="K789" s="70"/>
      <c r="L789" s="70"/>
      <c r="M789" s="70"/>
      <c r="N789" s="70"/>
      <c r="O789" s="70"/>
      <c r="P789" s="70"/>
      <c r="Q789" s="70"/>
      <c r="R789" s="70"/>
      <c r="S789" s="70"/>
      <c r="T789" s="70"/>
      <c r="U789" s="70"/>
      <c r="V789" s="70"/>
      <c r="W789" s="70"/>
    </row>
    <row r="790" ht="14.25" customHeight="1">
      <c r="A790" s="70"/>
      <c r="B790" s="70"/>
      <c r="C790" s="70"/>
      <c r="D790" s="70"/>
      <c r="E790" s="5"/>
      <c r="F790" s="70"/>
      <c r="G790" s="70"/>
      <c r="H790" s="70"/>
      <c r="I790" s="70"/>
      <c r="J790" s="70"/>
      <c r="K790" s="70"/>
      <c r="L790" s="70"/>
      <c r="M790" s="70"/>
      <c r="N790" s="70"/>
      <c r="O790" s="70"/>
      <c r="P790" s="70"/>
      <c r="Q790" s="70"/>
      <c r="R790" s="70"/>
      <c r="S790" s="70"/>
      <c r="T790" s="70"/>
      <c r="U790" s="70"/>
      <c r="V790" s="70"/>
      <c r="W790" s="70"/>
    </row>
    <row r="791" ht="14.25" customHeight="1">
      <c r="A791" s="70"/>
      <c r="B791" s="70"/>
      <c r="C791" s="70"/>
      <c r="D791" s="70"/>
      <c r="E791" s="5"/>
      <c r="F791" s="70"/>
      <c r="G791" s="70"/>
      <c r="H791" s="70"/>
      <c r="I791" s="70"/>
      <c r="J791" s="70"/>
      <c r="K791" s="70"/>
      <c r="L791" s="70"/>
      <c r="M791" s="70"/>
      <c r="N791" s="70"/>
      <c r="O791" s="70"/>
      <c r="P791" s="70"/>
      <c r="Q791" s="70"/>
      <c r="R791" s="70"/>
      <c r="S791" s="70"/>
      <c r="T791" s="70"/>
      <c r="U791" s="70"/>
      <c r="V791" s="70"/>
      <c r="W791" s="70"/>
    </row>
    <row r="792" ht="14.25" customHeight="1">
      <c r="A792" s="70"/>
      <c r="B792" s="70"/>
      <c r="C792" s="70"/>
      <c r="D792" s="70"/>
      <c r="E792" s="5"/>
      <c r="F792" s="70"/>
      <c r="G792" s="70"/>
      <c r="H792" s="70"/>
      <c r="I792" s="70"/>
      <c r="J792" s="70"/>
      <c r="K792" s="70"/>
      <c r="L792" s="70"/>
      <c r="M792" s="70"/>
      <c r="N792" s="70"/>
      <c r="O792" s="70"/>
      <c r="P792" s="70"/>
      <c r="Q792" s="70"/>
      <c r="R792" s="70"/>
      <c r="S792" s="70"/>
      <c r="T792" s="70"/>
      <c r="U792" s="70"/>
      <c r="V792" s="70"/>
      <c r="W792" s="70"/>
    </row>
    <row r="793" ht="14.25" customHeight="1">
      <c r="A793" s="70"/>
      <c r="B793" s="70"/>
      <c r="C793" s="70"/>
      <c r="D793" s="70"/>
      <c r="E793" s="5"/>
      <c r="F793" s="70"/>
      <c r="G793" s="70"/>
      <c r="H793" s="70"/>
      <c r="I793" s="70"/>
      <c r="J793" s="70"/>
      <c r="K793" s="70"/>
      <c r="L793" s="70"/>
      <c r="M793" s="70"/>
      <c r="N793" s="70"/>
      <c r="O793" s="70"/>
      <c r="P793" s="70"/>
      <c r="Q793" s="70"/>
      <c r="R793" s="70"/>
      <c r="S793" s="70"/>
      <c r="T793" s="70"/>
      <c r="U793" s="70"/>
      <c r="V793" s="70"/>
      <c r="W793" s="70"/>
    </row>
    <row r="794" ht="14.25" customHeight="1">
      <c r="A794" s="70"/>
      <c r="B794" s="70"/>
      <c r="C794" s="70"/>
      <c r="D794" s="70"/>
      <c r="E794" s="5"/>
      <c r="F794" s="70"/>
      <c r="G794" s="70"/>
      <c r="H794" s="70"/>
      <c r="I794" s="70"/>
      <c r="J794" s="70"/>
      <c r="K794" s="70"/>
      <c r="L794" s="70"/>
      <c r="M794" s="70"/>
      <c r="N794" s="70"/>
      <c r="O794" s="70"/>
      <c r="P794" s="70"/>
      <c r="Q794" s="70"/>
      <c r="R794" s="70"/>
      <c r="S794" s="70"/>
      <c r="T794" s="70"/>
      <c r="U794" s="70"/>
      <c r="V794" s="70"/>
      <c r="W794" s="70"/>
    </row>
    <row r="795" ht="14.25" customHeight="1">
      <c r="A795" s="70"/>
      <c r="B795" s="70"/>
      <c r="C795" s="70"/>
      <c r="D795" s="70"/>
      <c r="E795" s="5"/>
      <c r="F795" s="70"/>
      <c r="G795" s="70"/>
      <c r="H795" s="70"/>
      <c r="I795" s="70"/>
      <c r="J795" s="70"/>
      <c r="K795" s="70"/>
      <c r="L795" s="70"/>
      <c r="M795" s="70"/>
      <c r="N795" s="70"/>
      <c r="O795" s="70"/>
      <c r="P795" s="70"/>
      <c r="Q795" s="70"/>
      <c r="R795" s="70"/>
      <c r="S795" s="70"/>
      <c r="T795" s="70"/>
      <c r="U795" s="70"/>
      <c r="V795" s="70"/>
      <c r="W795" s="70"/>
    </row>
    <row r="796" ht="14.25" customHeight="1">
      <c r="A796" s="70"/>
      <c r="B796" s="70"/>
      <c r="C796" s="70"/>
      <c r="D796" s="70"/>
      <c r="E796" s="5"/>
      <c r="F796" s="70"/>
      <c r="G796" s="70"/>
      <c r="H796" s="70"/>
      <c r="I796" s="70"/>
      <c r="J796" s="70"/>
      <c r="K796" s="70"/>
      <c r="L796" s="70"/>
      <c r="M796" s="70"/>
      <c r="N796" s="70"/>
      <c r="O796" s="70"/>
      <c r="P796" s="70"/>
      <c r="Q796" s="70"/>
      <c r="R796" s="70"/>
      <c r="S796" s="70"/>
      <c r="T796" s="70"/>
      <c r="U796" s="70"/>
      <c r="V796" s="70"/>
      <c r="W796" s="70"/>
    </row>
    <row r="797" ht="14.25" customHeight="1">
      <c r="A797" s="70"/>
      <c r="B797" s="70"/>
      <c r="C797" s="70"/>
      <c r="D797" s="70"/>
      <c r="E797" s="5"/>
      <c r="F797" s="70"/>
      <c r="G797" s="70"/>
      <c r="H797" s="70"/>
      <c r="I797" s="70"/>
      <c r="J797" s="70"/>
      <c r="K797" s="70"/>
      <c r="L797" s="70"/>
      <c r="M797" s="70"/>
      <c r="N797" s="70"/>
      <c r="O797" s="70"/>
      <c r="P797" s="70"/>
      <c r="Q797" s="70"/>
      <c r="R797" s="70"/>
      <c r="S797" s="70"/>
      <c r="T797" s="70"/>
      <c r="U797" s="70"/>
      <c r="V797" s="70"/>
      <c r="W797" s="70"/>
    </row>
    <row r="798" ht="14.25" customHeight="1">
      <c r="A798" s="70"/>
      <c r="B798" s="70"/>
      <c r="C798" s="70"/>
      <c r="D798" s="70"/>
      <c r="E798" s="5"/>
      <c r="F798" s="70"/>
      <c r="G798" s="70"/>
      <c r="H798" s="70"/>
      <c r="I798" s="70"/>
      <c r="J798" s="70"/>
      <c r="K798" s="70"/>
      <c r="L798" s="70"/>
      <c r="M798" s="70"/>
      <c r="N798" s="70"/>
      <c r="O798" s="70"/>
      <c r="P798" s="70"/>
      <c r="Q798" s="70"/>
      <c r="R798" s="70"/>
      <c r="S798" s="70"/>
      <c r="T798" s="70"/>
      <c r="U798" s="70"/>
      <c r="V798" s="70"/>
      <c r="W798" s="70"/>
    </row>
    <row r="799" ht="14.25" customHeight="1">
      <c r="A799" s="70"/>
      <c r="B799" s="70"/>
      <c r="C799" s="70"/>
      <c r="D799" s="70"/>
      <c r="E799" s="5"/>
      <c r="F799" s="70"/>
      <c r="G799" s="70"/>
      <c r="H799" s="70"/>
      <c r="I799" s="70"/>
      <c r="J799" s="70"/>
      <c r="K799" s="70"/>
      <c r="L799" s="70"/>
      <c r="M799" s="70"/>
      <c r="N799" s="70"/>
      <c r="O799" s="70"/>
      <c r="P799" s="70"/>
      <c r="Q799" s="70"/>
      <c r="R799" s="70"/>
      <c r="S799" s="70"/>
      <c r="T799" s="70"/>
      <c r="U799" s="70"/>
      <c r="V799" s="70"/>
      <c r="W799" s="70"/>
    </row>
    <row r="800" ht="14.25" customHeight="1">
      <c r="A800" s="70"/>
      <c r="B800" s="70"/>
      <c r="C800" s="70"/>
      <c r="D800" s="70"/>
      <c r="E800" s="5"/>
      <c r="F800" s="70"/>
      <c r="G800" s="70"/>
      <c r="H800" s="70"/>
      <c r="I800" s="70"/>
      <c r="J800" s="70"/>
      <c r="K800" s="70"/>
      <c r="L800" s="70"/>
      <c r="M800" s="70"/>
      <c r="N800" s="70"/>
      <c r="O800" s="70"/>
      <c r="P800" s="70"/>
      <c r="Q800" s="70"/>
      <c r="R800" s="70"/>
      <c r="S800" s="70"/>
      <c r="T800" s="70"/>
      <c r="U800" s="70"/>
      <c r="V800" s="70"/>
      <c r="W800" s="70"/>
    </row>
    <row r="801" ht="14.25" customHeight="1">
      <c r="A801" s="70"/>
      <c r="B801" s="70"/>
      <c r="C801" s="70"/>
      <c r="D801" s="70"/>
      <c r="E801" s="5"/>
      <c r="F801" s="70"/>
      <c r="G801" s="70"/>
      <c r="H801" s="70"/>
      <c r="I801" s="70"/>
      <c r="J801" s="70"/>
      <c r="K801" s="70"/>
      <c r="L801" s="70"/>
      <c r="M801" s="70"/>
      <c r="N801" s="70"/>
      <c r="O801" s="70"/>
      <c r="P801" s="70"/>
      <c r="Q801" s="70"/>
      <c r="R801" s="70"/>
      <c r="S801" s="70"/>
      <c r="T801" s="70"/>
      <c r="U801" s="70"/>
      <c r="V801" s="70"/>
      <c r="W801" s="70"/>
    </row>
    <row r="802" ht="14.25" customHeight="1">
      <c r="A802" s="70"/>
      <c r="B802" s="70"/>
      <c r="C802" s="70"/>
      <c r="D802" s="70"/>
      <c r="E802" s="5"/>
      <c r="F802" s="70"/>
      <c r="G802" s="70"/>
      <c r="H802" s="70"/>
      <c r="I802" s="70"/>
      <c r="J802" s="70"/>
      <c r="K802" s="70"/>
      <c r="L802" s="70"/>
      <c r="M802" s="70"/>
      <c r="N802" s="70"/>
      <c r="O802" s="70"/>
      <c r="P802" s="70"/>
      <c r="Q802" s="70"/>
      <c r="R802" s="70"/>
      <c r="S802" s="70"/>
      <c r="T802" s="70"/>
      <c r="U802" s="70"/>
      <c r="V802" s="70"/>
      <c r="W802" s="70"/>
    </row>
    <row r="803" ht="14.25" customHeight="1">
      <c r="A803" s="70"/>
      <c r="B803" s="70"/>
      <c r="C803" s="70"/>
      <c r="D803" s="70"/>
      <c r="E803" s="5"/>
      <c r="F803" s="70"/>
      <c r="G803" s="70"/>
      <c r="H803" s="70"/>
      <c r="I803" s="70"/>
      <c r="J803" s="70"/>
      <c r="K803" s="70"/>
      <c r="L803" s="70"/>
      <c r="M803" s="70"/>
      <c r="N803" s="70"/>
      <c r="O803" s="70"/>
      <c r="P803" s="70"/>
      <c r="Q803" s="70"/>
      <c r="R803" s="70"/>
      <c r="S803" s="70"/>
      <c r="T803" s="70"/>
      <c r="U803" s="70"/>
      <c r="V803" s="70"/>
      <c r="W803" s="70"/>
    </row>
    <row r="804" ht="14.25" customHeight="1">
      <c r="A804" s="70"/>
      <c r="B804" s="70"/>
      <c r="C804" s="70"/>
      <c r="D804" s="70"/>
      <c r="E804" s="5"/>
      <c r="F804" s="70"/>
      <c r="G804" s="70"/>
      <c r="H804" s="70"/>
      <c r="I804" s="70"/>
      <c r="J804" s="70"/>
      <c r="K804" s="70"/>
      <c r="L804" s="70"/>
      <c r="M804" s="70"/>
      <c r="N804" s="70"/>
      <c r="O804" s="70"/>
      <c r="P804" s="70"/>
      <c r="Q804" s="70"/>
      <c r="R804" s="70"/>
      <c r="S804" s="70"/>
      <c r="T804" s="70"/>
      <c r="U804" s="70"/>
      <c r="V804" s="70"/>
      <c r="W804" s="70"/>
    </row>
    <row r="805" ht="14.25" customHeight="1">
      <c r="A805" s="70"/>
      <c r="B805" s="70"/>
      <c r="C805" s="70"/>
      <c r="D805" s="70"/>
      <c r="E805" s="5"/>
      <c r="F805" s="70"/>
      <c r="G805" s="70"/>
      <c r="H805" s="70"/>
      <c r="I805" s="70"/>
      <c r="J805" s="70"/>
      <c r="K805" s="70"/>
      <c r="L805" s="70"/>
      <c r="M805" s="70"/>
      <c r="N805" s="70"/>
      <c r="O805" s="70"/>
      <c r="P805" s="70"/>
      <c r="Q805" s="70"/>
      <c r="R805" s="70"/>
      <c r="S805" s="70"/>
      <c r="T805" s="70"/>
      <c r="U805" s="70"/>
      <c r="V805" s="70"/>
      <c r="W805" s="70"/>
    </row>
    <row r="806" ht="14.25" customHeight="1">
      <c r="A806" s="70"/>
      <c r="B806" s="70"/>
      <c r="C806" s="70"/>
      <c r="D806" s="70"/>
      <c r="E806" s="5"/>
      <c r="F806" s="70"/>
      <c r="G806" s="70"/>
      <c r="H806" s="70"/>
      <c r="I806" s="70"/>
      <c r="J806" s="70"/>
      <c r="K806" s="70"/>
      <c r="L806" s="70"/>
      <c r="M806" s="70"/>
      <c r="N806" s="70"/>
      <c r="O806" s="70"/>
      <c r="P806" s="70"/>
      <c r="Q806" s="70"/>
      <c r="R806" s="70"/>
      <c r="S806" s="70"/>
      <c r="T806" s="70"/>
      <c r="U806" s="70"/>
      <c r="V806" s="70"/>
      <c r="W806" s="70"/>
    </row>
    <row r="807" ht="14.25" customHeight="1">
      <c r="A807" s="70"/>
      <c r="B807" s="70"/>
      <c r="C807" s="70"/>
      <c r="D807" s="70"/>
      <c r="E807" s="5"/>
      <c r="F807" s="70"/>
      <c r="G807" s="70"/>
      <c r="H807" s="70"/>
      <c r="I807" s="70"/>
      <c r="J807" s="70"/>
      <c r="K807" s="70"/>
      <c r="L807" s="70"/>
      <c r="M807" s="70"/>
      <c r="N807" s="70"/>
      <c r="O807" s="70"/>
      <c r="P807" s="70"/>
      <c r="Q807" s="70"/>
      <c r="R807" s="70"/>
      <c r="S807" s="70"/>
      <c r="T807" s="70"/>
      <c r="U807" s="70"/>
      <c r="V807" s="70"/>
      <c r="W807" s="70"/>
    </row>
    <row r="808" ht="14.25" customHeight="1">
      <c r="A808" s="70"/>
      <c r="B808" s="70"/>
      <c r="C808" s="70"/>
      <c r="D808" s="70"/>
      <c r="E808" s="5"/>
      <c r="F808" s="70"/>
      <c r="G808" s="70"/>
      <c r="H808" s="70"/>
      <c r="I808" s="70"/>
      <c r="J808" s="70"/>
      <c r="K808" s="70"/>
      <c r="L808" s="70"/>
      <c r="M808" s="70"/>
      <c r="N808" s="70"/>
      <c r="O808" s="70"/>
      <c r="P808" s="70"/>
      <c r="Q808" s="70"/>
      <c r="R808" s="70"/>
      <c r="S808" s="70"/>
      <c r="T808" s="70"/>
      <c r="U808" s="70"/>
      <c r="V808" s="70"/>
      <c r="W808" s="70"/>
    </row>
    <row r="809" ht="14.25" customHeight="1">
      <c r="A809" s="70"/>
      <c r="B809" s="70"/>
      <c r="C809" s="70"/>
      <c r="D809" s="70"/>
      <c r="E809" s="5"/>
      <c r="F809" s="70"/>
      <c r="G809" s="70"/>
      <c r="H809" s="70"/>
      <c r="I809" s="70"/>
      <c r="J809" s="70"/>
      <c r="K809" s="70"/>
      <c r="L809" s="70"/>
      <c r="M809" s="70"/>
      <c r="N809" s="70"/>
      <c r="O809" s="70"/>
      <c r="P809" s="70"/>
      <c r="Q809" s="70"/>
      <c r="R809" s="70"/>
      <c r="S809" s="70"/>
      <c r="T809" s="70"/>
      <c r="U809" s="70"/>
      <c r="V809" s="70"/>
      <c r="W809" s="70"/>
    </row>
    <row r="810" ht="14.25" customHeight="1">
      <c r="A810" s="70"/>
      <c r="B810" s="70"/>
      <c r="C810" s="70"/>
      <c r="D810" s="70"/>
      <c r="E810" s="5"/>
      <c r="F810" s="70"/>
      <c r="G810" s="70"/>
      <c r="H810" s="70"/>
      <c r="I810" s="70"/>
      <c r="J810" s="70"/>
      <c r="K810" s="70"/>
      <c r="L810" s="70"/>
      <c r="M810" s="70"/>
      <c r="N810" s="70"/>
      <c r="O810" s="70"/>
      <c r="P810" s="70"/>
      <c r="Q810" s="70"/>
      <c r="R810" s="70"/>
      <c r="S810" s="70"/>
      <c r="T810" s="70"/>
      <c r="U810" s="70"/>
      <c r="V810" s="70"/>
      <c r="W810" s="70"/>
    </row>
    <row r="811" ht="14.25" customHeight="1">
      <c r="A811" s="70"/>
      <c r="B811" s="70"/>
      <c r="C811" s="70"/>
      <c r="D811" s="70"/>
      <c r="E811" s="5"/>
      <c r="F811" s="70"/>
      <c r="G811" s="70"/>
      <c r="H811" s="70"/>
      <c r="I811" s="70"/>
      <c r="J811" s="70"/>
      <c r="K811" s="70"/>
      <c r="L811" s="70"/>
      <c r="M811" s="70"/>
      <c r="N811" s="70"/>
      <c r="O811" s="70"/>
      <c r="P811" s="70"/>
      <c r="Q811" s="70"/>
      <c r="R811" s="70"/>
      <c r="S811" s="70"/>
      <c r="T811" s="70"/>
      <c r="U811" s="70"/>
      <c r="V811" s="70"/>
      <c r="W811" s="70"/>
    </row>
    <row r="812" ht="14.25" customHeight="1">
      <c r="A812" s="70"/>
      <c r="B812" s="70"/>
      <c r="C812" s="70"/>
      <c r="D812" s="70"/>
      <c r="E812" s="5"/>
      <c r="F812" s="70"/>
      <c r="G812" s="70"/>
      <c r="H812" s="70"/>
      <c r="I812" s="70"/>
      <c r="J812" s="70"/>
      <c r="K812" s="70"/>
      <c r="L812" s="70"/>
      <c r="M812" s="70"/>
      <c r="N812" s="70"/>
      <c r="O812" s="70"/>
      <c r="P812" s="70"/>
      <c r="Q812" s="70"/>
      <c r="R812" s="70"/>
      <c r="S812" s="70"/>
      <c r="T812" s="70"/>
      <c r="U812" s="70"/>
      <c r="V812" s="70"/>
      <c r="W812" s="70"/>
    </row>
    <row r="813" ht="14.25" customHeight="1">
      <c r="A813" s="70"/>
      <c r="B813" s="70"/>
      <c r="C813" s="70"/>
      <c r="D813" s="70"/>
      <c r="E813" s="5"/>
      <c r="F813" s="70"/>
      <c r="G813" s="70"/>
      <c r="H813" s="70"/>
      <c r="I813" s="70"/>
      <c r="J813" s="70"/>
      <c r="K813" s="70"/>
      <c r="L813" s="70"/>
      <c r="M813" s="70"/>
      <c r="N813" s="70"/>
      <c r="O813" s="70"/>
      <c r="P813" s="70"/>
      <c r="Q813" s="70"/>
      <c r="R813" s="70"/>
      <c r="S813" s="70"/>
      <c r="T813" s="70"/>
      <c r="U813" s="70"/>
      <c r="V813" s="70"/>
      <c r="W813" s="70"/>
    </row>
    <row r="814" ht="14.25" customHeight="1">
      <c r="A814" s="70"/>
      <c r="B814" s="70"/>
      <c r="C814" s="70"/>
      <c r="D814" s="70"/>
      <c r="E814" s="5"/>
      <c r="F814" s="70"/>
      <c r="G814" s="70"/>
      <c r="H814" s="70"/>
      <c r="I814" s="70"/>
      <c r="J814" s="70"/>
      <c r="K814" s="70"/>
      <c r="L814" s="70"/>
      <c r="M814" s="70"/>
      <c r="N814" s="70"/>
      <c r="O814" s="70"/>
      <c r="P814" s="70"/>
      <c r="Q814" s="70"/>
      <c r="R814" s="70"/>
      <c r="S814" s="70"/>
      <c r="T814" s="70"/>
      <c r="U814" s="70"/>
      <c r="V814" s="70"/>
      <c r="W814" s="70"/>
    </row>
    <row r="815" ht="14.25" customHeight="1">
      <c r="A815" s="70"/>
      <c r="B815" s="70"/>
      <c r="C815" s="70"/>
      <c r="D815" s="70"/>
      <c r="E815" s="5"/>
      <c r="F815" s="70"/>
      <c r="G815" s="70"/>
      <c r="H815" s="70"/>
      <c r="I815" s="70"/>
      <c r="J815" s="70"/>
      <c r="K815" s="70"/>
      <c r="L815" s="70"/>
      <c r="M815" s="70"/>
      <c r="N815" s="70"/>
      <c r="O815" s="70"/>
      <c r="P815" s="70"/>
      <c r="Q815" s="70"/>
      <c r="R815" s="70"/>
      <c r="S815" s="70"/>
      <c r="T815" s="70"/>
      <c r="U815" s="70"/>
      <c r="V815" s="70"/>
      <c r="W815" s="70"/>
    </row>
    <row r="816" ht="14.25" customHeight="1">
      <c r="A816" s="70"/>
      <c r="B816" s="70"/>
      <c r="C816" s="70"/>
      <c r="D816" s="70"/>
      <c r="E816" s="5"/>
      <c r="F816" s="70"/>
      <c r="G816" s="70"/>
      <c r="H816" s="70"/>
      <c r="I816" s="70"/>
      <c r="J816" s="70"/>
      <c r="K816" s="70"/>
      <c r="L816" s="70"/>
      <c r="M816" s="70"/>
      <c r="N816" s="70"/>
      <c r="O816" s="70"/>
      <c r="P816" s="70"/>
      <c r="Q816" s="70"/>
      <c r="R816" s="70"/>
      <c r="S816" s="70"/>
      <c r="T816" s="70"/>
      <c r="U816" s="70"/>
      <c r="V816" s="70"/>
      <c r="W816" s="70"/>
    </row>
    <row r="817" ht="14.25" customHeight="1">
      <c r="A817" s="70"/>
      <c r="B817" s="70"/>
      <c r="C817" s="70"/>
      <c r="D817" s="70"/>
      <c r="E817" s="5"/>
      <c r="F817" s="70"/>
      <c r="G817" s="70"/>
      <c r="H817" s="70"/>
      <c r="I817" s="70"/>
      <c r="J817" s="70"/>
      <c r="K817" s="70"/>
      <c r="L817" s="70"/>
      <c r="M817" s="70"/>
      <c r="N817" s="70"/>
      <c r="O817" s="70"/>
      <c r="P817" s="70"/>
      <c r="Q817" s="70"/>
      <c r="R817" s="70"/>
      <c r="S817" s="70"/>
      <c r="T817" s="70"/>
      <c r="U817" s="70"/>
      <c r="V817" s="70"/>
      <c r="W817" s="70"/>
    </row>
    <row r="818" ht="14.25" customHeight="1">
      <c r="A818" s="70"/>
      <c r="B818" s="70"/>
      <c r="C818" s="70"/>
      <c r="D818" s="70"/>
      <c r="E818" s="5"/>
      <c r="F818" s="70"/>
      <c r="G818" s="70"/>
      <c r="H818" s="70"/>
      <c r="I818" s="70"/>
      <c r="J818" s="70"/>
      <c r="K818" s="70"/>
      <c r="L818" s="70"/>
      <c r="M818" s="70"/>
      <c r="N818" s="70"/>
      <c r="O818" s="70"/>
      <c r="P818" s="70"/>
      <c r="Q818" s="70"/>
      <c r="R818" s="70"/>
      <c r="S818" s="70"/>
      <c r="T818" s="70"/>
      <c r="U818" s="70"/>
      <c r="V818" s="70"/>
      <c r="W818" s="70"/>
    </row>
    <row r="819" ht="14.25" customHeight="1">
      <c r="A819" s="70"/>
      <c r="B819" s="70"/>
      <c r="C819" s="70"/>
      <c r="D819" s="70"/>
      <c r="E819" s="5"/>
      <c r="F819" s="70"/>
      <c r="G819" s="70"/>
      <c r="H819" s="70"/>
      <c r="I819" s="70"/>
      <c r="J819" s="70"/>
      <c r="K819" s="70"/>
      <c r="L819" s="70"/>
      <c r="M819" s="70"/>
      <c r="N819" s="70"/>
      <c r="O819" s="70"/>
      <c r="P819" s="70"/>
      <c r="Q819" s="70"/>
      <c r="R819" s="70"/>
      <c r="S819" s="70"/>
      <c r="T819" s="70"/>
      <c r="U819" s="70"/>
      <c r="V819" s="70"/>
      <c r="W819" s="70"/>
    </row>
    <row r="820" ht="14.25" customHeight="1">
      <c r="A820" s="70"/>
      <c r="B820" s="70"/>
      <c r="C820" s="70"/>
      <c r="D820" s="70"/>
      <c r="E820" s="5"/>
      <c r="F820" s="70"/>
      <c r="G820" s="70"/>
      <c r="H820" s="70"/>
      <c r="I820" s="70"/>
      <c r="J820" s="70"/>
      <c r="K820" s="70"/>
      <c r="L820" s="70"/>
      <c r="M820" s="70"/>
      <c r="N820" s="70"/>
      <c r="O820" s="70"/>
      <c r="P820" s="70"/>
      <c r="Q820" s="70"/>
      <c r="R820" s="70"/>
      <c r="S820" s="70"/>
      <c r="T820" s="70"/>
      <c r="U820" s="70"/>
      <c r="V820" s="70"/>
      <c r="W820" s="70"/>
    </row>
    <row r="821" ht="14.25" customHeight="1">
      <c r="A821" s="70"/>
      <c r="B821" s="70"/>
      <c r="C821" s="70"/>
      <c r="D821" s="70"/>
      <c r="E821" s="5"/>
      <c r="F821" s="70"/>
      <c r="G821" s="70"/>
      <c r="H821" s="70"/>
      <c r="I821" s="70"/>
      <c r="J821" s="70"/>
      <c r="K821" s="70"/>
      <c r="L821" s="70"/>
      <c r="M821" s="70"/>
      <c r="N821" s="70"/>
      <c r="O821" s="70"/>
      <c r="P821" s="70"/>
      <c r="Q821" s="70"/>
      <c r="R821" s="70"/>
      <c r="S821" s="70"/>
      <c r="T821" s="70"/>
      <c r="U821" s="70"/>
      <c r="V821" s="70"/>
      <c r="W821" s="70"/>
    </row>
    <row r="822" ht="14.25" customHeight="1">
      <c r="A822" s="70"/>
      <c r="B822" s="70"/>
      <c r="C822" s="70"/>
      <c r="D822" s="70"/>
      <c r="E822" s="5"/>
      <c r="F822" s="70"/>
      <c r="G822" s="70"/>
      <c r="H822" s="70"/>
      <c r="I822" s="70"/>
      <c r="J822" s="70"/>
      <c r="K822" s="70"/>
      <c r="L822" s="70"/>
      <c r="M822" s="70"/>
      <c r="N822" s="70"/>
      <c r="O822" s="70"/>
      <c r="P822" s="70"/>
      <c r="Q822" s="70"/>
      <c r="R822" s="70"/>
      <c r="S822" s="70"/>
      <c r="T822" s="70"/>
      <c r="U822" s="70"/>
      <c r="V822" s="70"/>
      <c r="W822" s="70"/>
    </row>
    <row r="823" ht="14.25" customHeight="1">
      <c r="A823" s="70"/>
      <c r="B823" s="70"/>
      <c r="C823" s="70"/>
      <c r="D823" s="70"/>
      <c r="E823" s="5"/>
      <c r="F823" s="70"/>
      <c r="G823" s="70"/>
      <c r="H823" s="70"/>
      <c r="I823" s="70"/>
      <c r="J823" s="70"/>
      <c r="K823" s="70"/>
      <c r="L823" s="70"/>
      <c r="M823" s="70"/>
      <c r="N823" s="70"/>
      <c r="O823" s="70"/>
      <c r="P823" s="70"/>
      <c r="Q823" s="70"/>
      <c r="R823" s="70"/>
      <c r="S823" s="70"/>
      <c r="T823" s="70"/>
      <c r="U823" s="70"/>
      <c r="V823" s="70"/>
      <c r="W823" s="70"/>
    </row>
    <row r="824" ht="14.25" customHeight="1">
      <c r="A824" s="70"/>
      <c r="B824" s="70"/>
      <c r="C824" s="70"/>
      <c r="D824" s="70"/>
      <c r="E824" s="5"/>
      <c r="F824" s="70"/>
      <c r="G824" s="70"/>
      <c r="H824" s="70"/>
      <c r="I824" s="70"/>
      <c r="J824" s="70"/>
      <c r="K824" s="70"/>
      <c r="L824" s="70"/>
      <c r="M824" s="70"/>
      <c r="N824" s="70"/>
      <c r="O824" s="70"/>
      <c r="P824" s="70"/>
      <c r="Q824" s="70"/>
      <c r="R824" s="70"/>
      <c r="S824" s="70"/>
      <c r="T824" s="70"/>
      <c r="U824" s="70"/>
      <c r="V824" s="70"/>
      <c r="W824" s="70"/>
    </row>
    <row r="825" ht="14.25" customHeight="1">
      <c r="A825" s="70"/>
      <c r="B825" s="70"/>
      <c r="C825" s="70"/>
      <c r="D825" s="70"/>
      <c r="E825" s="5"/>
      <c r="F825" s="70"/>
      <c r="G825" s="70"/>
      <c r="H825" s="70"/>
      <c r="I825" s="70"/>
      <c r="J825" s="70"/>
      <c r="K825" s="70"/>
      <c r="L825" s="70"/>
      <c r="M825" s="70"/>
      <c r="N825" s="70"/>
      <c r="O825" s="70"/>
      <c r="P825" s="70"/>
      <c r="Q825" s="70"/>
      <c r="R825" s="70"/>
      <c r="S825" s="70"/>
      <c r="T825" s="70"/>
      <c r="U825" s="70"/>
      <c r="V825" s="70"/>
      <c r="W825" s="70"/>
    </row>
    <row r="826" ht="14.25" customHeight="1">
      <c r="A826" s="70"/>
      <c r="B826" s="70"/>
      <c r="C826" s="70"/>
      <c r="D826" s="70"/>
      <c r="E826" s="5"/>
      <c r="F826" s="70"/>
      <c r="G826" s="70"/>
      <c r="H826" s="70"/>
      <c r="I826" s="70"/>
      <c r="J826" s="70"/>
      <c r="K826" s="70"/>
      <c r="L826" s="70"/>
      <c r="M826" s="70"/>
      <c r="N826" s="70"/>
      <c r="O826" s="70"/>
      <c r="P826" s="70"/>
      <c r="Q826" s="70"/>
      <c r="R826" s="70"/>
      <c r="S826" s="70"/>
      <c r="T826" s="70"/>
      <c r="U826" s="70"/>
      <c r="V826" s="70"/>
      <c r="W826" s="70"/>
    </row>
    <row r="827" ht="14.25" customHeight="1">
      <c r="A827" s="70"/>
      <c r="B827" s="70"/>
      <c r="C827" s="70"/>
      <c r="D827" s="70"/>
      <c r="E827" s="5"/>
      <c r="F827" s="70"/>
      <c r="G827" s="70"/>
      <c r="H827" s="70"/>
      <c r="I827" s="70"/>
      <c r="J827" s="70"/>
      <c r="K827" s="70"/>
      <c r="L827" s="70"/>
      <c r="M827" s="70"/>
      <c r="N827" s="70"/>
      <c r="O827" s="70"/>
      <c r="P827" s="70"/>
      <c r="Q827" s="70"/>
      <c r="R827" s="70"/>
      <c r="S827" s="70"/>
      <c r="T827" s="70"/>
      <c r="U827" s="70"/>
      <c r="V827" s="70"/>
      <c r="W827" s="70"/>
    </row>
    <row r="828" ht="14.25" customHeight="1">
      <c r="A828" s="70"/>
      <c r="B828" s="70"/>
      <c r="C828" s="70"/>
      <c r="D828" s="70"/>
      <c r="E828" s="5"/>
      <c r="F828" s="70"/>
      <c r="G828" s="70"/>
      <c r="H828" s="70"/>
      <c r="I828" s="70"/>
      <c r="J828" s="70"/>
      <c r="K828" s="70"/>
      <c r="L828" s="70"/>
      <c r="M828" s="70"/>
      <c r="N828" s="70"/>
      <c r="O828" s="70"/>
      <c r="P828" s="70"/>
      <c r="Q828" s="70"/>
      <c r="R828" s="70"/>
      <c r="S828" s="70"/>
      <c r="T828" s="70"/>
      <c r="U828" s="70"/>
      <c r="V828" s="70"/>
      <c r="W828" s="70"/>
    </row>
    <row r="829" ht="14.25" customHeight="1">
      <c r="A829" s="70"/>
      <c r="B829" s="70"/>
      <c r="C829" s="70"/>
      <c r="D829" s="70"/>
      <c r="E829" s="5"/>
      <c r="F829" s="70"/>
      <c r="G829" s="70"/>
      <c r="H829" s="70"/>
      <c r="I829" s="70"/>
      <c r="J829" s="70"/>
      <c r="K829" s="70"/>
      <c r="L829" s="70"/>
      <c r="M829" s="70"/>
      <c r="N829" s="70"/>
      <c r="O829" s="70"/>
      <c r="P829" s="70"/>
      <c r="Q829" s="70"/>
      <c r="R829" s="70"/>
      <c r="S829" s="70"/>
      <c r="T829" s="70"/>
      <c r="U829" s="70"/>
      <c r="V829" s="70"/>
      <c r="W829" s="70"/>
    </row>
    <row r="830" ht="14.25" customHeight="1">
      <c r="A830" s="70"/>
      <c r="B830" s="70"/>
      <c r="C830" s="70"/>
      <c r="D830" s="70"/>
      <c r="E830" s="5"/>
      <c r="F830" s="70"/>
      <c r="G830" s="70"/>
      <c r="H830" s="70"/>
      <c r="I830" s="70"/>
      <c r="J830" s="70"/>
      <c r="K830" s="70"/>
      <c r="L830" s="70"/>
      <c r="M830" s="70"/>
      <c r="N830" s="70"/>
      <c r="O830" s="70"/>
      <c r="P830" s="70"/>
      <c r="Q830" s="70"/>
      <c r="R830" s="70"/>
      <c r="S830" s="70"/>
      <c r="T830" s="70"/>
      <c r="U830" s="70"/>
      <c r="V830" s="70"/>
      <c r="W830" s="70"/>
    </row>
    <row r="831" ht="14.25" customHeight="1">
      <c r="A831" s="70"/>
      <c r="B831" s="70"/>
      <c r="C831" s="70"/>
      <c r="D831" s="70"/>
      <c r="E831" s="5"/>
      <c r="F831" s="70"/>
      <c r="G831" s="70"/>
      <c r="H831" s="70"/>
      <c r="I831" s="70"/>
      <c r="J831" s="70"/>
      <c r="K831" s="70"/>
      <c r="L831" s="70"/>
      <c r="M831" s="70"/>
      <c r="N831" s="70"/>
      <c r="O831" s="70"/>
      <c r="P831" s="70"/>
      <c r="Q831" s="70"/>
      <c r="R831" s="70"/>
      <c r="S831" s="70"/>
      <c r="T831" s="70"/>
      <c r="U831" s="70"/>
      <c r="V831" s="70"/>
      <c r="W831" s="70"/>
    </row>
    <row r="832" ht="14.25" customHeight="1">
      <c r="A832" s="70"/>
      <c r="B832" s="70"/>
      <c r="C832" s="70"/>
      <c r="D832" s="70"/>
      <c r="E832" s="5"/>
      <c r="F832" s="70"/>
      <c r="G832" s="70"/>
      <c r="H832" s="70"/>
      <c r="I832" s="70"/>
      <c r="J832" s="70"/>
      <c r="K832" s="70"/>
      <c r="L832" s="70"/>
      <c r="M832" s="70"/>
      <c r="N832" s="70"/>
      <c r="O832" s="70"/>
      <c r="P832" s="70"/>
      <c r="Q832" s="70"/>
      <c r="R832" s="70"/>
      <c r="S832" s="70"/>
      <c r="T832" s="70"/>
      <c r="U832" s="70"/>
      <c r="V832" s="70"/>
      <c r="W832" s="70"/>
    </row>
    <row r="833" ht="14.25" customHeight="1">
      <c r="A833" s="70"/>
      <c r="B833" s="70"/>
      <c r="C833" s="70"/>
      <c r="D833" s="70"/>
      <c r="E833" s="5"/>
      <c r="F833" s="70"/>
      <c r="G833" s="70"/>
      <c r="H833" s="70"/>
      <c r="I833" s="70"/>
      <c r="J833" s="70"/>
      <c r="K833" s="70"/>
      <c r="L833" s="70"/>
      <c r="M833" s="70"/>
      <c r="N833" s="70"/>
      <c r="O833" s="70"/>
      <c r="P833" s="70"/>
      <c r="Q833" s="70"/>
      <c r="R833" s="70"/>
      <c r="S833" s="70"/>
      <c r="T833" s="70"/>
      <c r="U833" s="70"/>
      <c r="V833" s="70"/>
      <c r="W833" s="70"/>
    </row>
    <row r="834" ht="14.25" customHeight="1">
      <c r="A834" s="70"/>
      <c r="B834" s="70"/>
      <c r="C834" s="70"/>
      <c r="D834" s="70"/>
      <c r="E834" s="5"/>
      <c r="F834" s="70"/>
      <c r="G834" s="70"/>
      <c r="H834" s="70"/>
      <c r="I834" s="70"/>
      <c r="J834" s="70"/>
      <c r="K834" s="70"/>
      <c r="L834" s="70"/>
      <c r="M834" s="70"/>
      <c r="N834" s="70"/>
      <c r="O834" s="70"/>
      <c r="P834" s="70"/>
      <c r="Q834" s="70"/>
      <c r="R834" s="70"/>
      <c r="S834" s="70"/>
      <c r="T834" s="70"/>
      <c r="U834" s="70"/>
      <c r="V834" s="70"/>
      <c r="W834" s="70"/>
    </row>
    <row r="835" ht="14.25" customHeight="1">
      <c r="A835" s="70"/>
      <c r="B835" s="70"/>
      <c r="C835" s="70"/>
      <c r="D835" s="70"/>
      <c r="E835" s="5"/>
      <c r="F835" s="70"/>
      <c r="G835" s="70"/>
      <c r="H835" s="70"/>
      <c r="I835" s="70"/>
      <c r="J835" s="70"/>
      <c r="K835" s="70"/>
      <c r="L835" s="70"/>
      <c r="M835" s="70"/>
      <c r="N835" s="70"/>
      <c r="O835" s="70"/>
      <c r="P835" s="70"/>
      <c r="Q835" s="70"/>
      <c r="R835" s="70"/>
      <c r="S835" s="70"/>
      <c r="T835" s="70"/>
      <c r="U835" s="70"/>
      <c r="V835" s="70"/>
      <c r="W835" s="70"/>
    </row>
    <row r="836" ht="14.25" customHeight="1">
      <c r="A836" s="70"/>
      <c r="B836" s="70"/>
      <c r="C836" s="70"/>
      <c r="D836" s="70"/>
      <c r="E836" s="5"/>
      <c r="F836" s="70"/>
      <c r="G836" s="70"/>
      <c r="H836" s="70"/>
      <c r="I836" s="70"/>
      <c r="J836" s="70"/>
      <c r="K836" s="70"/>
      <c r="L836" s="70"/>
      <c r="M836" s="70"/>
      <c r="N836" s="70"/>
      <c r="O836" s="70"/>
      <c r="P836" s="70"/>
      <c r="Q836" s="70"/>
      <c r="R836" s="70"/>
      <c r="S836" s="70"/>
      <c r="T836" s="70"/>
      <c r="U836" s="70"/>
      <c r="V836" s="70"/>
      <c r="W836" s="70"/>
    </row>
    <row r="837" ht="14.25" customHeight="1">
      <c r="A837" s="70"/>
      <c r="B837" s="70"/>
      <c r="C837" s="70"/>
      <c r="D837" s="70"/>
      <c r="E837" s="5"/>
      <c r="F837" s="70"/>
      <c r="G837" s="70"/>
      <c r="H837" s="70"/>
      <c r="I837" s="70"/>
      <c r="J837" s="70"/>
      <c r="K837" s="70"/>
      <c r="L837" s="70"/>
      <c r="M837" s="70"/>
      <c r="N837" s="70"/>
      <c r="O837" s="70"/>
      <c r="P837" s="70"/>
      <c r="Q837" s="70"/>
      <c r="R837" s="70"/>
      <c r="S837" s="70"/>
      <c r="T837" s="70"/>
      <c r="U837" s="70"/>
      <c r="V837" s="70"/>
      <c r="W837" s="70"/>
    </row>
    <row r="838" ht="14.25" customHeight="1">
      <c r="A838" s="70"/>
      <c r="B838" s="70"/>
      <c r="C838" s="70"/>
      <c r="D838" s="70"/>
      <c r="E838" s="5"/>
      <c r="F838" s="70"/>
      <c r="G838" s="70"/>
      <c r="H838" s="70"/>
      <c r="I838" s="70"/>
      <c r="J838" s="70"/>
      <c r="K838" s="70"/>
      <c r="L838" s="70"/>
      <c r="M838" s="70"/>
      <c r="N838" s="70"/>
      <c r="O838" s="70"/>
      <c r="P838" s="70"/>
      <c r="Q838" s="70"/>
      <c r="R838" s="70"/>
      <c r="S838" s="70"/>
      <c r="T838" s="70"/>
      <c r="U838" s="70"/>
      <c r="V838" s="70"/>
      <c r="W838" s="70"/>
    </row>
    <row r="839" ht="14.25" customHeight="1">
      <c r="A839" s="70"/>
      <c r="B839" s="70"/>
      <c r="C839" s="70"/>
      <c r="D839" s="70"/>
      <c r="E839" s="5"/>
      <c r="F839" s="70"/>
      <c r="G839" s="70"/>
      <c r="H839" s="70"/>
      <c r="I839" s="70"/>
      <c r="J839" s="70"/>
      <c r="K839" s="70"/>
      <c r="L839" s="70"/>
      <c r="M839" s="70"/>
      <c r="N839" s="70"/>
      <c r="O839" s="70"/>
      <c r="P839" s="70"/>
      <c r="Q839" s="70"/>
      <c r="R839" s="70"/>
      <c r="S839" s="70"/>
      <c r="T839" s="70"/>
      <c r="U839" s="70"/>
      <c r="V839" s="70"/>
      <c r="W839" s="70"/>
    </row>
    <row r="840" ht="14.25" customHeight="1">
      <c r="A840" s="70"/>
      <c r="B840" s="70"/>
      <c r="C840" s="70"/>
      <c r="D840" s="70"/>
      <c r="E840" s="5"/>
      <c r="F840" s="70"/>
      <c r="G840" s="70"/>
      <c r="H840" s="70"/>
      <c r="I840" s="70"/>
      <c r="J840" s="70"/>
      <c r="K840" s="70"/>
      <c r="L840" s="70"/>
      <c r="M840" s="70"/>
      <c r="N840" s="70"/>
      <c r="O840" s="70"/>
      <c r="P840" s="70"/>
      <c r="Q840" s="70"/>
      <c r="R840" s="70"/>
      <c r="S840" s="70"/>
      <c r="T840" s="70"/>
      <c r="U840" s="70"/>
      <c r="V840" s="70"/>
      <c r="W840" s="70"/>
    </row>
    <row r="841" ht="14.25" customHeight="1">
      <c r="A841" s="70"/>
      <c r="B841" s="70"/>
      <c r="C841" s="70"/>
      <c r="D841" s="70"/>
      <c r="E841" s="5"/>
      <c r="F841" s="70"/>
      <c r="G841" s="70"/>
      <c r="H841" s="70"/>
      <c r="I841" s="70"/>
      <c r="J841" s="70"/>
      <c r="K841" s="70"/>
      <c r="L841" s="70"/>
      <c r="M841" s="70"/>
      <c r="N841" s="70"/>
      <c r="O841" s="70"/>
      <c r="P841" s="70"/>
      <c r="Q841" s="70"/>
      <c r="R841" s="70"/>
      <c r="S841" s="70"/>
      <c r="T841" s="70"/>
      <c r="U841" s="70"/>
      <c r="V841" s="70"/>
      <c r="W841" s="70"/>
    </row>
    <row r="842" ht="14.25" customHeight="1">
      <c r="A842" s="70"/>
      <c r="B842" s="70"/>
      <c r="C842" s="70"/>
      <c r="D842" s="70"/>
      <c r="E842" s="5"/>
      <c r="F842" s="70"/>
      <c r="G842" s="70"/>
      <c r="H842" s="70"/>
      <c r="I842" s="70"/>
      <c r="J842" s="70"/>
      <c r="K842" s="70"/>
      <c r="L842" s="70"/>
      <c r="M842" s="70"/>
      <c r="N842" s="70"/>
      <c r="O842" s="70"/>
      <c r="P842" s="70"/>
      <c r="Q842" s="70"/>
      <c r="R842" s="70"/>
      <c r="S842" s="70"/>
      <c r="T842" s="70"/>
      <c r="U842" s="70"/>
      <c r="V842" s="70"/>
      <c r="W842" s="70"/>
    </row>
    <row r="843" ht="14.25" customHeight="1">
      <c r="A843" s="70"/>
      <c r="B843" s="70"/>
      <c r="C843" s="70"/>
      <c r="D843" s="70"/>
      <c r="E843" s="5"/>
      <c r="F843" s="70"/>
      <c r="G843" s="70"/>
      <c r="H843" s="70"/>
      <c r="I843" s="70"/>
      <c r="J843" s="70"/>
      <c r="K843" s="70"/>
      <c r="L843" s="70"/>
      <c r="M843" s="70"/>
      <c r="N843" s="70"/>
      <c r="O843" s="70"/>
      <c r="P843" s="70"/>
      <c r="Q843" s="70"/>
      <c r="R843" s="70"/>
      <c r="S843" s="70"/>
      <c r="T843" s="70"/>
      <c r="U843" s="70"/>
      <c r="V843" s="70"/>
      <c r="W843" s="70"/>
    </row>
    <row r="844" ht="14.25" customHeight="1">
      <c r="A844" s="70"/>
      <c r="B844" s="70"/>
      <c r="C844" s="70"/>
      <c r="D844" s="70"/>
      <c r="E844" s="5"/>
      <c r="F844" s="70"/>
      <c r="G844" s="70"/>
      <c r="H844" s="70"/>
      <c r="I844" s="70"/>
      <c r="J844" s="70"/>
      <c r="K844" s="70"/>
      <c r="L844" s="70"/>
      <c r="M844" s="70"/>
      <c r="N844" s="70"/>
      <c r="O844" s="70"/>
      <c r="P844" s="70"/>
      <c r="Q844" s="70"/>
      <c r="R844" s="70"/>
      <c r="S844" s="70"/>
      <c r="T844" s="70"/>
      <c r="U844" s="70"/>
      <c r="V844" s="70"/>
      <c r="W844" s="70"/>
    </row>
    <row r="845" ht="14.25" customHeight="1">
      <c r="A845" s="70"/>
      <c r="B845" s="70"/>
      <c r="C845" s="70"/>
      <c r="D845" s="70"/>
      <c r="E845" s="5"/>
      <c r="F845" s="70"/>
      <c r="G845" s="70"/>
      <c r="H845" s="70"/>
      <c r="I845" s="70"/>
      <c r="J845" s="70"/>
      <c r="K845" s="70"/>
      <c r="L845" s="70"/>
      <c r="M845" s="70"/>
      <c r="N845" s="70"/>
      <c r="O845" s="70"/>
      <c r="P845" s="70"/>
      <c r="Q845" s="70"/>
      <c r="R845" s="70"/>
      <c r="S845" s="70"/>
      <c r="T845" s="70"/>
      <c r="U845" s="70"/>
      <c r="V845" s="70"/>
      <c r="W845" s="70"/>
    </row>
    <row r="846" ht="14.25" customHeight="1">
      <c r="A846" s="70"/>
      <c r="B846" s="70"/>
      <c r="C846" s="70"/>
      <c r="D846" s="70"/>
      <c r="E846" s="5"/>
      <c r="F846" s="70"/>
      <c r="G846" s="70"/>
      <c r="H846" s="70"/>
      <c r="I846" s="70"/>
      <c r="J846" s="70"/>
      <c r="K846" s="70"/>
      <c r="L846" s="70"/>
      <c r="M846" s="70"/>
      <c r="N846" s="70"/>
      <c r="O846" s="70"/>
      <c r="P846" s="70"/>
      <c r="Q846" s="70"/>
      <c r="R846" s="70"/>
      <c r="S846" s="70"/>
      <c r="T846" s="70"/>
      <c r="U846" s="70"/>
      <c r="V846" s="70"/>
      <c r="W846" s="70"/>
    </row>
    <row r="847" ht="14.25" customHeight="1">
      <c r="A847" s="70"/>
      <c r="B847" s="70"/>
      <c r="C847" s="70"/>
      <c r="D847" s="70"/>
      <c r="E847" s="5"/>
      <c r="F847" s="70"/>
      <c r="G847" s="70"/>
      <c r="H847" s="70"/>
      <c r="I847" s="70"/>
      <c r="J847" s="70"/>
      <c r="K847" s="70"/>
      <c r="L847" s="70"/>
      <c r="M847" s="70"/>
      <c r="N847" s="70"/>
      <c r="O847" s="70"/>
      <c r="P847" s="70"/>
      <c r="Q847" s="70"/>
      <c r="R847" s="70"/>
      <c r="S847" s="70"/>
      <c r="T847" s="70"/>
      <c r="U847" s="70"/>
      <c r="V847" s="70"/>
      <c r="W847" s="70"/>
    </row>
    <row r="848" ht="14.25" customHeight="1">
      <c r="A848" s="70"/>
      <c r="B848" s="70"/>
      <c r="C848" s="70"/>
      <c r="D848" s="70"/>
      <c r="E848" s="5"/>
      <c r="F848" s="70"/>
      <c r="G848" s="70"/>
      <c r="H848" s="70"/>
      <c r="I848" s="70"/>
      <c r="J848" s="70"/>
      <c r="K848" s="70"/>
      <c r="L848" s="70"/>
      <c r="M848" s="70"/>
      <c r="N848" s="70"/>
      <c r="O848" s="70"/>
      <c r="P848" s="70"/>
      <c r="Q848" s="70"/>
      <c r="R848" s="70"/>
      <c r="S848" s="70"/>
      <c r="T848" s="70"/>
      <c r="U848" s="70"/>
      <c r="V848" s="70"/>
      <c r="W848" s="70"/>
    </row>
    <row r="849" ht="14.25" customHeight="1">
      <c r="A849" s="70"/>
      <c r="B849" s="70"/>
      <c r="C849" s="70"/>
      <c r="D849" s="70"/>
      <c r="E849" s="5"/>
      <c r="F849" s="70"/>
      <c r="G849" s="70"/>
      <c r="H849" s="70"/>
      <c r="I849" s="70"/>
      <c r="J849" s="70"/>
      <c r="K849" s="70"/>
      <c r="L849" s="70"/>
      <c r="M849" s="70"/>
      <c r="N849" s="70"/>
      <c r="O849" s="70"/>
      <c r="P849" s="70"/>
      <c r="Q849" s="70"/>
      <c r="R849" s="70"/>
      <c r="S849" s="70"/>
      <c r="T849" s="70"/>
      <c r="U849" s="70"/>
      <c r="V849" s="70"/>
      <c r="W849" s="70"/>
    </row>
    <row r="850" ht="14.25" customHeight="1">
      <c r="A850" s="70"/>
      <c r="B850" s="70"/>
      <c r="C850" s="70"/>
      <c r="D850" s="70"/>
      <c r="E850" s="5"/>
      <c r="F850" s="70"/>
      <c r="G850" s="70"/>
      <c r="H850" s="70"/>
      <c r="I850" s="70"/>
      <c r="J850" s="70"/>
      <c r="K850" s="70"/>
      <c r="L850" s="70"/>
      <c r="M850" s="70"/>
      <c r="N850" s="70"/>
      <c r="O850" s="70"/>
      <c r="P850" s="70"/>
      <c r="Q850" s="70"/>
      <c r="R850" s="70"/>
      <c r="S850" s="70"/>
      <c r="T850" s="70"/>
      <c r="U850" s="70"/>
      <c r="V850" s="70"/>
      <c r="W850" s="70"/>
    </row>
    <row r="851" ht="14.25" customHeight="1">
      <c r="A851" s="70"/>
      <c r="B851" s="70"/>
      <c r="C851" s="70"/>
      <c r="D851" s="70"/>
      <c r="E851" s="5"/>
      <c r="F851" s="70"/>
      <c r="G851" s="70"/>
      <c r="H851" s="70"/>
      <c r="I851" s="70"/>
      <c r="J851" s="70"/>
      <c r="K851" s="70"/>
      <c r="L851" s="70"/>
      <c r="M851" s="70"/>
      <c r="N851" s="70"/>
      <c r="O851" s="70"/>
      <c r="P851" s="70"/>
      <c r="Q851" s="70"/>
      <c r="R851" s="70"/>
      <c r="S851" s="70"/>
      <c r="T851" s="70"/>
      <c r="U851" s="70"/>
      <c r="V851" s="70"/>
      <c r="W851" s="70"/>
    </row>
    <row r="852" ht="14.25" customHeight="1">
      <c r="A852" s="70"/>
      <c r="B852" s="70"/>
      <c r="C852" s="70"/>
      <c r="D852" s="70"/>
      <c r="E852" s="5"/>
      <c r="F852" s="70"/>
      <c r="G852" s="70"/>
      <c r="H852" s="70"/>
      <c r="I852" s="70"/>
      <c r="J852" s="70"/>
      <c r="K852" s="70"/>
      <c r="L852" s="70"/>
      <c r="M852" s="70"/>
      <c r="N852" s="70"/>
      <c r="O852" s="70"/>
      <c r="P852" s="70"/>
      <c r="Q852" s="70"/>
      <c r="R852" s="70"/>
      <c r="S852" s="70"/>
      <c r="T852" s="70"/>
      <c r="U852" s="70"/>
      <c r="V852" s="70"/>
      <c r="W852" s="70"/>
    </row>
    <row r="853" ht="14.25" customHeight="1">
      <c r="A853" s="70"/>
      <c r="B853" s="70"/>
      <c r="C853" s="70"/>
      <c r="D853" s="70"/>
      <c r="E853" s="5"/>
      <c r="F853" s="70"/>
      <c r="G853" s="70"/>
      <c r="H853" s="70"/>
      <c r="I853" s="70"/>
      <c r="J853" s="70"/>
      <c r="K853" s="70"/>
      <c r="L853" s="70"/>
      <c r="M853" s="70"/>
      <c r="N853" s="70"/>
      <c r="O853" s="70"/>
      <c r="P853" s="70"/>
      <c r="Q853" s="70"/>
      <c r="R853" s="70"/>
      <c r="S853" s="70"/>
      <c r="T853" s="70"/>
      <c r="U853" s="70"/>
      <c r="V853" s="70"/>
      <c r="W853" s="70"/>
    </row>
    <row r="854" ht="14.25" customHeight="1">
      <c r="A854" s="70"/>
      <c r="B854" s="70"/>
      <c r="C854" s="70"/>
      <c r="D854" s="70"/>
      <c r="E854" s="5"/>
      <c r="F854" s="70"/>
      <c r="G854" s="70"/>
      <c r="H854" s="70"/>
      <c r="I854" s="70"/>
      <c r="J854" s="70"/>
      <c r="K854" s="70"/>
      <c r="L854" s="70"/>
      <c r="M854" s="70"/>
      <c r="N854" s="70"/>
      <c r="O854" s="70"/>
      <c r="P854" s="70"/>
      <c r="Q854" s="70"/>
      <c r="R854" s="70"/>
      <c r="S854" s="70"/>
      <c r="T854" s="70"/>
      <c r="U854" s="70"/>
      <c r="V854" s="70"/>
      <c r="W854" s="70"/>
    </row>
    <row r="855" ht="14.25" customHeight="1">
      <c r="A855" s="70"/>
      <c r="B855" s="70"/>
      <c r="C855" s="70"/>
      <c r="D855" s="70"/>
      <c r="E855" s="5"/>
      <c r="F855" s="70"/>
      <c r="G855" s="70"/>
      <c r="H855" s="70"/>
      <c r="I855" s="70"/>
      <c r="J855" s="70"/>
      <c r="K855" s="70"/>
      <c r="L855" s="70"/>
      <c r="M855" s="70"/>
      <c r="N855" s="70"/>
      <c r="O855" s="70"/>
      <c r="P855" s="70"/>
      <c r="Q855" s="70"/>
      <c r="R855" s="70"/>
      <c r="S855" s="70"/>
      <c r="T855" s="70"/>
      <c r="U855" s="70"/>
      <c r="V855" s="70"/>
      <c r="W855" s="70"/>
    </row>
    <row r="856" ht="14.25" customHeight="1">
      <c r="A856" s="70"/>
      <c r="B856" s="70"/>
      <c r="C856" s="70"/>
      <c r="D856" s="70"/>
      <c r="E856" s="5"/>
      <c r="F856" s="70"/>
      <c r="G856" s="70"/>
      <c r="H856" s="70"/>
      <c r="I856" s="70"/>
      <c r="J856" s="70"/>
      <c r="K856" s="70"/>
      <c r="L856" s="70"/>
      <c r="M856" s="70"/>
      <c r="N856" s="70"/>
      <c r="O856" s="70"/>
      <c r="P856" s="70"/>
      <c r="Q856" s="70"/>
      <c r="R856" s="70"/>
      <c r="S856" s="70"/>
      <c r="T856" s="70"/>
      <c r="U856" s="70"/>
      <c r="V856" s="70"/>
      <c r="W856" s="70"/>
    </row>
    <row r="857" ht="14.25" customHeight="1">
      <c r="A857" s="70"/>
      <c r="B857" s="70"/>
      <c r="C857" s="70"/>
      <c r="D857" s="70"/>
      <c r="E857" s="5"/>
      <c r="F857" s="70"/>
      <c r="G857" s="70"/>
      <c r="H857" s="70"/>
      <c r="I857" s="70"/>
      <c r="J857" s="70"/>
      <c r="K857" s="70"/>
      <c r="L857" s="70"/>
      <c r="M857" s="70"/>
      <c r="N857" s="70"/>
      <c r="O857" s="70"/>
      <c r="P857" s="70"/>
      <c r="Q857" s="70"/>
      <c r="R857" s="70"/>
      <c r="S857" s="70"/>
      <c r="T857" s="70"/>
      <c r="U857" s="70"/>
      <c r="V857" s="70"/>
      <c r="W857" s="70"/>
    </row>
    <row r="858" ht="14.25" customHeight="1">
      <c r="A858" s="70"/>
      <c r="B858" s="70"/>
      <c r="C858" s="70"/>
      <c r="D858" s="70"/>
      <c r="E858" s="5"/>
      <c r="F858" s="70"/>
      <c r="G858" s="70"/>
      <c r="H858" s="70"/>
      <c r="I858" s="70"/>
      <c r="J858" s="70"/>
      <c r="K858" s="70"/>
      <c r="L858" s="70"/>
      <c r="M858" s="70"/>
      <c r="N858" s="70"/>
      <c r="O858" s="70"/>
      <c r="P858" s="70"/>
      <c r="Q858" s="70"/>
      <c r="R858" s="70"/>
      <c r="S858" s="70"/>
      <c r="T858" s="70"/>
      <c r="U858" s="70"/>
      <c r="V858" s="70"/>
      <c r="W858" s="70"/>
    </row>
    <row r="859" ht="14.25" customHeight="1">
      <c r="A859" s="70"/>
      <c r="B859" s="70"/>
      <c r="C859" s="70"/>
      <c r="D859" s="70"/>
      <c r="E859" s="5"/>
      <c r="F859" s="70"/>
      <c r="G859" s="70"/>
      <c r="H859" s="70"/>
      <c r="I859" s="70"/>
      <c r="J859" s="70"/>
      <c r="K859" s="70"/>
      <c r="L859" s="70"/>
      <c r="M859" s="70"/>
      <c r="N859" s="70"/>
      <c r="O859" s="70"/>
      <c r="P859" s="70"/>
      <c r="Q859" s="70"/>
      <c r="R859" s="70"/>
      <c r="S859" s="70"/>
      <c r="T859" s="70"/>
      <c r="U859" s="70"/>
      <c r="V859" s="70"/>
      <c r="W859" s="70"/>
    </row>
    <row r="860" ht="14.25" customHeight="1">
      <c r="A860" s="70"/>
      <c r="B860" s="70"/>
      <c r="C860" s="70"/>
      <c r="D860" s="70"/>
      <c r="E860" s="5"/>
      <c r="F860" s="70"/>
      <c r="G860" s="70"/>
      <c r="H860" s="70"/>
      <c r="I860" s="70"/>
      <c r="J860" s="70"/>
      <c r="K860" s="70"/>
      <c r="L860" s="70"/>
      <c r="M860" s="70"/>
      <c r="N860" s="70"/>
      <c r="O860" s="70"/>
      <c r="P860" s="70"/>
      <c r="Q860" s="70"/>
      <c r="R860" s="70"/>
      <c r="S860" s="70"/>
      <c r="T860" s="70"/>
      <c r="U860" s="70"/>
      <c r="V860" s="70"/>
      <c r="W860" s="70"/>
    </row>
    <row r="861" ht="14.25" customHeight="1">
      <c r="A861" s="70"/>
      <c r="B861" s="70"/>
      <c r="C861" s="70"/>
      <c r="D861" s="70"/>
      <c r="E861" s="5"/>
      <c r="F861" s="70"/>
      <c r="G861" s="70"/>
      <c r="H861" s="70"/>
      <c r="I861" s="70"/>
      <c r="J861" s="70"/>
      <c r="K861" s="70"/>
      <c r="L861" s="70"/>
      <c r="M861" s="70"/>
      <c r="N861" s="70"/>
      <c r="O861" s="70"/>
      <c r="P861" s="70"/>
      <c r="Q861" s="70"/>
      <c r="R861" s="70"/>
      <c r="S861" s="70"/>
      <c r="T861" s="70"/>
      <c r="U861" s="70"/>
      <c r="V861" s="70"/>
      <c r="W861" s="70"/>
    </row>
    <row r="862" ht="14.25" customHeight="1">
      <c r="A862" s="70"/>
      <c r="B862" s="70"/>
      <c r="C862" s="70"/>
      <c r="D862" s="70"/>
      <c r="E862" s="5"/>
      <c r="F862" s="70"/>
      <c r="G862" s="70"/>
      <c r="H862" s="70"/>
      <c r="I862" s="70"/>
      <c r="J862" s="70"/>
      <c r="K862" s="70"/>
      <c r="L862" s="70"/>
      <c r="M862" s="70"/>
      <c r="N862" s="70"/>
      <c r="O862" s="70"/>
      <c r="P862" s="70"/>
      <c r="Q862" s="70"/>
      <c r="R862" s="70"/>
      <c r="S862" s="70"/>
      <c r="T862" s="70"/>
      <c r="U862" s="70"/>
      <c r="V862" s="70"/>
      <c r="W862" s="70"/>
    </row>
    <row r="863" ht="14.25" customHeight="1">
      <c r="A863" s="70"/>
      <c r="B863" s="70"/>
      <c r="C863" s="70"/>
      <c r="D863" s="70"/>
      <c r="E863" s="5"/>
      <c r="F863" s="70"/>
      <c r="G863" s="70"/>
      <c r="H863" s="70"/>
      <c r="I863" s="70"/>
      <c r="J863" s="70"/>
      <c r="K863" s="70"/>
      <c r="L863" s="70"/>
      <c r="M863" s="70"/>
      <c r="N863" s="70"/>
      <c r="O863" s="70"/>
      <c r="P863" s="70"/>
      <c r="Q863" s="70"/>
      <c r="R863" s="70"/>
      <c r="S863" s="70"/>
      <c r="T863" s="70"/>
      <c r="U863" s="70"/>
      <c r="V863" s="70"/>
      <c r="W863" s="70"/>
    </row>
    <row r="864" ht="14.25" customHeight="1">
      <c r="A864" s="70"/>
      <c r="B864" s="70"/>
      <c r="C864" s="70"/>
      <c r="D864" s="70"/>
      <c r="E864" s="5"/>
      <c r="F864" s="70"/>
      <c r="G864" s="70"/>
      <c r="H864" s="70"/>
      <c r="I864" s="70"/>
      <c r="J864" s="70"/>
      <c r="K864" s="70"/>
      <c r="L864" s="70"/>
      <c r="M864" s="70"/>
      <c r="N864" s="70"/>
      <c r="O864" s="70"/>
      <c r="P864" s="70"/>
      <c r="Q864" s="70"/>
      <c r="R864" s="70"/>
      <c r="S864" s="70"/>
      <c r="T864" s="70"/>
      <c r="U864" s="70"/>
      <c r="V864" s="70"/>
      <c r="W864" s="70"/>
    </row>
    <row r="865" ht="14.25" customHeight="1">
      <c r="A865" s="70"/>
      <c r="B865" s="70"/>
      <c r="C865" s="70"/>
      <c r="D865" s="70"/>
      <c r="E865" s="5"/>
      <c r="F865" s="70"/>
      <c r="G865" s="70"/>
      <c r="H865" s="70"/>
      <c r="I865" s="70"/>
      <c r="J865" s="70"/>
      <c r="K865" s="70"/>
      <c r="L865" s="70"/>
      <c r="M865" s="70"/>
      <c r="N865" s="70"/>
      <c r="O865" s="70"/>
      <c r="P865" s="70"/>
      <c r="Q865" s="70"/>
      <c r="R865" s="70"/>
      <c r="S865" s="70"/>
      <c r="T865" s="70"/>
      <c r="U865" s="70"/>
      <c r="V865" s="70"/>
      <c r="W865" s="70"/>
    </row>
    <row r="866" ht="14.25" customHeight="1">
      <c r="A866" s="70"/>
      <c r="B866" s="70"/>
      <c r="C866" s="70"/>
      <c r="D866" s="70"/>
      <c r="E866" s="5"/>
      <c r="F866" s="70"/>
      <c r="G866" s="70"/>
      <c r="H866" s="70"/>
      <c r="I866" s="70"/>
      <c r="J866" s="70"/>
      <c r="K866" s="70"/>
      <c r="L866" s="70"/>
      <c r="M866" s="70"/>
      <c r="N866" s="70"/>
      <c r="O866" s="70"/>
      <c r="P866" s="70"/>
      <c r="Q866" s="70"/>
      <c r="R866" s="70"/>
      <c r="S866" s="70"/>
      <c r="T866" s="70"/>
      <c r="U866" s="70"/>
      <c r="V866" s="70"/>
      <c r="W866" s="70"/>
    </row>
    <row r="867" ht="14.25" customHeight="1">
      <c r="A867" s="70"/>
      <c r="B867" s="70"/>
      <c r="C867" s="70"/>
      <c r="D867" s="70"/>
      <c r="E867" s="5"/>
      <c r="F867" s="70"/>
      <c r="G867" s="70"/>
      <c r="H867" s="70"/>
      <c r="I867" s="70"/>
      <c r="J867" s="70"/>
      <c r="K867" s="70"/>
      <c r="L867" s="70"/>
      <c r="M867" s="70"/>
      <c r="N867" s="70"/>
      <c r="O867" s="70"/>
      <c r="P867" s="70"/>
      <c r="Q867" s="70"/>
      <c r="R867" s="70"/>
      <c r="S867" s="70"/>
      <c r="T867" s="70"/>
      <c r="U867" s="70"/>
      <c r="V867" s="70"/>
      <c r="W867" s="70"/>
    </row>
    <row r="868" ht="14.25" customHeight="1">
      <c r="A868" s="70"/>
      <c r="B868" s="70"/>
      <c r="C868" s="70"/>
      <c r="D868" s="70"/>
      <c r="E868" s="5"/>
      <c r="F868" s="70"/>
      <c r="G868" s="70"/>
      <c r="H868" s="70"/>
      <c r="I868" s="70"/>
      <c r="J868" s="70"/>
      <c r="K868" s="70"/>
      <c r="L868" s="70"/>
      <c r="M868" s="70"/>
      <c r="N868" s="70"/>
      <c r="O868" s="70"/>
      <c r="P868" s="70"/>
      <c r="Q868" s="70"/>
      <c r="R868" s="70"/>
      <c r="S868" s="70"/>
      <c r="T868" s="70"/>
      <c r="U868" s="70"/>
      <c r="V868" s="70"/>
      <c r="W868" s="70"/>
    </row>
    <row r="869" ht="14.25" customHeight="1">
      <c r="A869" s="70"/>
      <c r="B869" s="70"/>
      <c r="C869" s="70"/>
      <c r="D869" s="70"/>
      <c r="E869" s="5"/>
      <c r="F869" s="70"/>
      <c r="G869" s="70"/>
      <c r="H869" s="70"/>
      <c r="I869" s="70"/>
      <c r="J869" s="70"/>
      <c r="K869" s="70"/>
      <c r="L869" s="70"/>
      <c r="M869" s="70"/>
      <c r="N869" s="70"/>
      <c r="O869" s="70"/>
      <c r="P869" s="70"/>
      <c r="Q869" s="70"/>
      <c r="R869" s="70"/>
      <c r="S869" s="70"/>
      <c r="T869" s="70"/>
      <c r="U869" s="70"/>
      <c r="V869" s="70"/>
      <c r="W869" s="70"/>
    </row>
    <row r="870" ht="14.25" customHeight="1">
      <c r="A870" s="70"/>
      <c r="B870" s="70"/>
      <c r="C870" s="70"/>
      <c r="D870" s="70"/>
      <c r="E870" s="5"/>
      <c r="F870" s="70"/>
      <c r="G870" s="70"/>
      <c r="H870" s="70"/>
      <c r="I870" s="70"/>
      <c r="J870" s="70"/>
      <c r="K870" s="70"/>
      <c r="L870" s="70"/>
      <c r="M870" s="70"/>
      <c r="N870" s="70"/>
      <c r="O870" s="70"/>
      <c r="P870" s="70"/>
      <c r="Q870" s="70"/>
      <c r="R870" s="70"/>
      <c r="S870" s="70"/>
      <c r="T870" s="70"/>
      <c r="U870" s="70"/>
      <c r="V870" s="70"/>
      <c r="W870" s="70"/>
    </row>
    <row r="871" ht="14.25" customHeight="1">
      <c r="A871" s="70"/>
      <c r="B871" s="70"/>
      <c r="C871" s="70"/>
      <c r="D871" s="70"/>
      <c r="E871" s="5"/>
      <c r="F871" s="70"/>
      <c r="G871" s="70"/>
      <c r="H871" s="70"/>
      <c r="I871" s="70"/>
      <c r="J871" s="70"/>
      <c r="K871" s="70"/>
      <c r="L871" s="70"/>
      <c r="M871" s="70"/>
      <c r="N871" s="70"/>
      <c r="O871" s="70"/>
      <c r="P871" s="70"/>
      <c r="Q871" s="70"/>
      <c r="R871" s="70"/>
      <c r="S871" s="70"/>
      <c r="T871" s="70"/>
      <c r="U871" s="70"/>
      <c r="V871" s="70"/>
      <c r="W871" s="70"/>
    </row>
    <row r="872" ht="14.25" customHeight="1">
      <c r="A872" s="70"/>
      <c r="B872" s="70"/>
      <c r="C872" s="70"/>
      <c r="D872" s="70"/>
      <c r="E872" s="5"/>
      <c r="F872" s="70"/>
      <c r="G872" s="70"/>
      <c r="H872" s="70"/>
      <c r="I872" s="70"/>
      <c r="J872" s="70"/>
      <c r="K872" s="70"/>
      <c r="L872" s="70"/>
      <c r="M872" s="70"/>
      <c r="N872" s="70"/>
      <c r="O872" s="70"/>
      <c r="P872" s="70"/>
      <c r="Q872" s="70"/>
      <c r="R872" s="70"/>
      <c r="S872" s="70"/>
      <c r="T872" s="70"/>
      <c r="U872" s="70"/>
      <c r="V872" s="70"/>
      <c r="W872" s="70"/>
    </row>
    <row r="873" ht="14.25" customHeight="1">
      <c r="A873" s="70"/>
      <c r="B873" s="70"/>
      <c r="C873" s="70"/>
      <c r="D873" s="70"/>
      <c r="E873" s="5"/>
      <c r="F873" s="70"/>
      <c r="G873" s="70"/>
      <c r="H873" s="70"/>
      <c r="I873" s="70"/>
      <c r="J873" s="70"/>
      <c r="K873" s="70"/>
      <c r="L873" s="70"/>
      <c r="M873" s="70"/>
      <c r="N873" s="70"/>
      <c r="O873" s="70"/>
      <c r="P873" s="70"/>
      <c r="Q873" s="70"/>
      <c r="R873" s="70"/>
      <c r="S873" s="70"/>
      <c r="T873" s="70"/>
      <c r="U873" s="70"/>
      <c r="V873" s="70"/>
      <c r="W873" s="70"/>
    </row>
    <row r="874" ht="14.25" customHeight="1">
      <c r="A874" s="70"/>
      <c r="B874" s="70"/>
      <c r="C874" s="70"/>
      <c r="D874" s="70"/>
      <c r="E874" s="5"/>
      <c r="F874" s="70"/>
      <c r="G874" s="70"/>
      <c r="H874" s="70"/>
      <c r="I874" s="70"/>
      <c r="J874" s="70"/>
      <c r="K874" s="70"/>
      <c r="L874" s="70"/>
      <c r="M874" s="70"/>
      <c r="N874" s="70"/>
      <c r="O874" s="70"/>
      <c r="P874" s="70"/>
      <c r="Q874" s="70"/>
      <c r="R874" s="70"/>
      <c r="S874" s="70"/>
      <c r="T874" s="70"/>
      <c r="U874" s="70"/>
      <c r="V874" s="70"/>
      <c r="W874" s="70"/>
    </row>
    <row r="875" ht="14.25" customHeight="1">
      <c r="A875" s="70"/>
      <c r="B875" s="70"/>
      <c r="C875" s="70"/>
      <c r="D875" s="70"/>
      <c r="E875" s="5"/>
      <c r="F875" s="70"/>
      <c r="G875" s="70"/>
      <c r="H875" s="70"/>
      <c r="I875" s="70"/>
      <c r="J875" s="70"/>
      <c r="K875" s="70"/>
      <c r="L875" s="70"/>
      <c r="M875" s="70"/>
      <c r="N875" s="70"/>
      <c r="O875" s="70"/>
      <c r="P875" s="70"/>
      <c r="Q875" s="70"/>
      <c r="R875" s="70"/>
      <c r="S875" s="70"/>
      <c r="T875" s="70"/>
      <c r="U875" s="70"/>
      <c r="V875" s="70"/>
      <c r="W875" s="70"/>
    </row>
    <row r="876" ht="14.25" customHeight="1">
      <c r="A876" s="70"/>
      <c r="B876" s="70"/>
      <c r="C876" s="70"/>
      <c r="D876" s="70"/>
      <c r="E876" s="5"/>
      <c r="F876" s="70"/>
      <c r="G876" s="70"/>
      <c r="H876" s="70"/>
      <c r="I876" s="70"/>
      <c r="J876" s="70"/>
      <c r="K876" s="70"/>
      <c r="L876" s="70"/>
      <c r="M876" s="70"/>
      <c r="N876" s="70"/>
      <c r="O876" s="70"/>
      <c r="P876" s="70"/>
      <c r="Q876" s="70"/>
      <c r="R876" s="70"/>
      <c r="S876" s="70"/>
      <c r="T876" s="70"/>
      <c r="U876" s="70"/>
      <c r="V876" s="70"/>
      <c r="W876" s="70"/>
    </row>
    <row r="877" ht="14.25" customHeight="1">
      <c r="A877" s="70"/>
      <c r="B877" s="70"/>
      <c r="C877" s="70"/>
      <c r="D877" s="70"/>
      <c r="E877" s="5"/>
      <c r="F877" s="70"/>
      <c r="G877" s="70"/>
      <c r="H877" s="70"/>
      <c r="I877" s="70"/>
      <c r="J877" s="70"/>
      <c r="K877" s="70"/>
      <c r="L877" s="70"/>
      <c r="M877" s="70"/>
      <c r="N877" s="70"/>
      <c r="O877" s="70"/>
      <c r="P877" s="70"/>
      <c r="Q877" s="70"/>
      <c r="R877" s="70"/>
      <c r="S877" s="70"/>
      <c r="T877" s="70"/>
      <c r="U877" s="70"/>
      <c r="V877" s="70"/>
      <c r="W877" s="70"/>
    </row>
    <row r="878" ht="14.25" customHeight="1">
      <c r="A878" s="70"/>
      <c r="B878" s="70"/>
      <c r="C878" s="70"/>
      <c r="D878" s="70"/>
      <c r="E878" s="5"/>
      <c r="F878" s="70"/>
      <c r="G878" s="70"/>
      <c r="H878" s="70"/>
      <c r="I878" s="70"/>
      <c r="J878" s="70"/>
      <c r="K878" s="70"/>
      <c r="L878" s="70"/>
      <c r="M878" s="70"/>
      <c r="N878" s="70"/>
      <c r="O878" s="70"/>
      <c r="P878" s="70"/>
      <c r="Q878" s="70"/>
      <c r="R878" s="70"/>
      <c r="S878" s="70"/>
      <c r="T878" s="70"/>
      <c r="U878" s="70"/>
      <c r="V878" s="70"/>
      <c r="W878" s="70"/>
    </row>
    <row r="879" ht="14.25" customHeight="1">
      <c r="A879" s="70"/>
      <c r="B879" s="70"/>
      <c r="C879" s="70"/>
      <c r="D879" s="70"/>
      <c r="E879" s="5"/>
      <c r="F879" s="70"/>
      <c r="G879" s="70"/>
      <c r="H879" s="70"/>
      <c r="I879" s="70"/>
      <c r="J879" s="70"/>
      <c r="K879" s="70"/>
      <c r="L879" s="70"/>
      <c r="M879" s="70"/>
      <c r="N879" s="70"/>
      <c r="O879" s="70"/>
      <c r="P879" s="70"/>
      <c r="Q879" s="70"/>
      <c r="R879" s="70"/>
      <c r="S879" s="70"/>
      <c r="T879" s="70"/>
      <c r="U879" s="70"/>
      <c r="V879" s="70"/>
      <c r="W879" s="70"/>
    </row>
    <row r="880" ht="14.25" customHeight="1">
      <c r="A880" s="70"/>
      <c r="B880" s="70"/>
      <c r="C880" s="70"/>
      <c r="D880" s="70"/>
      <c r="E880" s="5"/>
      <c r="F880" s="70"/>
      <c r="G880" s="70"/>
      <c r="H880" s="70"/>
      <c r="I880" s="70"/>
      <c r="J880" s="70"/>
      <c r="K880" s="70"/>
      <c r="L880" s="70"/>
      <c r="M880" s="70"/>
      <c r="N880" s="70"/>
      <c r="O880" s="70"/>
      <c r="P880" s="70"/>
      <c r="Q880" s="70"/>
      <c r="R880" s="70"/>
      <c r="S880" s="70"/>
      <c r="T880" s="70"/>
      <c r="U880" s="70"/>
      <c r="V880" s="70"/>
      <c r="W880" s="70"/>
    </row>
    <row r="881" ht="14.25" customHeight="1">
      <c r="A881" s="70"/>
      <c r="B881" s="70"/>
      <c r="C881" s="70"/>
      <c r="D881" s="70"/>
      <c r="E881" s="5"/>
      <c r="F881" s="70"/>
      <c r="G881" s="70"/>
      <c r="H881" s="70"/>
      <c r="I881" s="70"/>
      <c r="J881" s="70"/>
      <c r="K881" s="70"/>
      <c r="L881" s="70"/>
      <c r="M881" s="70"/>
      <c r="N881" s="70"/>
      <c r="O881" s="70"/>
      <c r="P881" s="70"/>
      <c r="Q881" s="70"/>
      <c r="R881" s="70"/>
      <c r="S881" s="70"/>
      <c r="T881" s="70"/>
      <c r="U881" s="70"/>
      <c r="V881" s="70"/>
      <c r="W881" s="70"/>
    </row>
    <row r="882" ht="14.25" customHeight="1">
      <c r="A882" s="70"/>
      <c r="B882" s="70"/>
      <c r="C882" s="70"/>
      <c r="D882" s="70"/>
      <c r="E882" s="5"/>
      <c r="F882" s="70"/>
      <c r="G882" s="70"/>
      <c r="H882" s="70"/>
      <c r="I882" s="70"/>
      <c r="J882" s="70"/>
      <c r="K882" s="70"/>
      <c r="L882" s="70"/>
      <c r="M882" s="70"/>
      <c r="N882" s="70"/>
      <c r="O882" s="70"/>
      <c r="P882" s="70"/>
      <c r="Q882" s="70"/>
      <c r="R882" s="70"/>
      <c r="S882" s="70"/>
      <c r="T882" s="70"/>
      <c r="U882" s="70"/>
      <c r="V882" s="70"/>
      <c r="W882" s="70"/>
    </row>
    <row r="883" ht="14.25" customHeight="1">
      <c r="A883" s="70"/>
      <c r="B883" s="70"/>
      <c r="C883" s="70"/>
      <c r="D883" s="70"/>
      <c r="E883" s="5"/>
      <c r="F883" s="70"/>
      <c r="G883" s="70"/>
      <c r="H883" s="70"/>
      <c r="I883" s="70"/>
      <c r="J883" s="70"/>
      <c r="K883" s="70"/>
      <c r="L883" s="70"/>
      <c r="M883" s="70"/>
      <c r="N883" s="70"/>
      <c r="O883" s="70"/>
      <c r="P883" s="70"/>
      <c r="Q883" s="70"/>
      <c r="R883" s="70"/>
      <c r="S883" s="70"/>
      <c r="T883" s="70"/>
      <c r="U883" s="70"/>
      <c r="V883" s="70"/>
      <c r="W883" s="70"/>
    </row>
    <row r="884" ht="14.25" customHeight="1">
      <c r="A884" s="70"/>
      <c r="B884" s="70"/>
      <c r="C884" s="70"/>
      <c r="D884" s="70"/>
      <c r="E884" s="5"/>
      <c r="F884" s="70"/>
      <c r="G884" s="70"/>
      <c r="H884" s="70"/>
      <c r="I884" s="70"/>
      <c r="J884" s="70"/>
      <c r="K884" s="70"/>
      <c r="L884" s="70"/>
      <c r="M884" s="70"/>
      <c r="N884" s="70"/>
      <c r="O884" s="70"/>
      <c r="P884" s="70"/>
      <c r="Q884" s="70"/>
      <c r="R884" s="70"/>
      <c r="S884" s="70"/>
      <c r="T884" s="70"/>
      <c r="U884" s="70"/>
      <c r="V884" s="70"/>
      <c r="W884" s="70"/>
    </row>
    <row r="885" ht="14.25" customHeight="1">
      <c r="A885" s="70"/>
      <c r="B885" s="70"/>
      <c r="C885" s="70"/>
      <c r="D885" s="70"/>
      <c r="E885" s="5"/>
      <c r="F885" s="70"/>
      <c r="G885" s="70"/>
      <c r="H885" s="70"/>
      <c r="I885" s="70"/>
      <c r="J885" s="70"/>
      <c r="K885" s="70"/>
      <c r="L885" s="70"/>
      <c r="M885" s="70"/>
      <c r="N885" s="70"/>
      <c r="O885" s="70"/>
      <c r="P885" s="70"/>
      <c r="Q885" s="70"/>
      <c r="R885" s="70"/>
      <c r="S885" s="70"/>
      <c r="T885" s="70"/>
      <c r="U885" s="70"/>
      <c r="V885" s="70"/>
      <c r="W885" s="70"/>
    </row>
    <row r="886" ht="14.25" customHeight="1">
      <c r="A886" s="70"/>
      <c r="B886" s="70"/>
      <c r="C886" s="70"/>
      <c r="D886" s="70"/>
      <c r="E886" s="5"/>
      <c r="F886" s="70"/>
      <c r="G886" s="70"/>
      <c r="H886" s="70"/>
      <c r="I886" s="70"/>
      <c r="J886" s="70"/>
      <c r="K886" s="70"/>
      <c r="L886" s="70"/>
      <c r="M886" s="70"/>
      <c r="N886" s="70"/>
      <c r="O886" s="70"/>
      <c r="P886" s="70"/>
      <c r="Q886" s="70"/>
      <c r="R886" s="70"/>
      <c r="S886" s="70"/>
      <c r="T886" s="70"/>
      <c r="U886" s="70"/>
      <c r="V886" s="70"/>
      <c r="W886" s="70"/>
    </row>
    <row r="887" ht="14.25" customHeight="1">
      <c r="A887" s="70"/>
      <c r="B887" s="70"/>
      <c r="C887" s="70"/>
      <c r="D887" s="70"/>
      <c r="E887" s="5"/>
      <c r="F887" s="70"/>
      <c r="G887" s="70"/>
      <c r="H887" s="70"/>
      <c r="I887" s="70"/>
      <c r="J887" s="70"/>
      <c r="K887" s="70"/>
      <c r="L887" s="70"/>
      <c r="M887" s="70"/>
      <c r="N887" s="70"/>
      <c r="O887" s="70"/>
      <c r="P887" s="70"/>
      <c r="Q887" s="70"/>
      <c r="R887" s="70"/>
      <c r="S887" s="70"/>
      <c r="T887" s="70"/>
      <c r="U887" s="70"/>
      <c r="V887" s="70"/>
      <c r="W887" s="70"/>
    </row>
    <row r="888" ht="14.25" customHeight="1">
      <c r="A888" s="70"/>
      <c r="B888" s="70"/>
      <c r="C888" s="70"/>
      <c r="D888" s="70"/>
      <c r="E888" s="5"/>
      <c r="F888" s="70"/>
      <c r="G888" s="70"/>
      <c r="H888" s="70"/>
      <c r="I888" s="70"/>
      <c r="J888" s="70"/>
      <c r="K888" s="70"/>
      <c r="L888" s="70"/>
      <c r="M888" s="70"/>
      <c r="N888" s="70"/>
      <c r="O888" s="70"/>
      <c r="P888" s="70"/>
      <c r="Q888" s="70"/>
      <c r="R888" s="70"/>
      <c r="S888" s="70"/>
      <c r="T888" s="70"/>
      <c r="U888" s="70"/>
      <c r="V888" s="70"/>
      <c r="W888" s="70"/>
    </row>
    <row r="889" ht="14.25" customHeight="1">
      <c r="A889" s="70"/>
      <c r="B889" s="70"/>
      <c r="C889" s="70"/>
      <c r="D889" s="70"/>
      <c r="E889" s="5"/>
      <c r="F889" s="70"/>
      <c r="G889" s="70"/>
      <c r="H889" s="70"/>
      <c r="I889" s="70"/>
      <c r="J889" s="70"/>
      <c r="K889" s="70"/>
      <c r="L889" s="70"/>
      <c r="M889" s="70"/>
      <c r="N889" s="70"/>
      <c r="O889" s="70"/>
      <c r="P889" s="70"/>
      <c r="Q889" s="70"/>
      <c r="R889" s="70"/>
      <c r="S889" s="70"/>
      <c r="T889" s="70"/>
      <c r="U889" s="70"/>
      <c r="V889" s="70"/>
      <c r="W889" s="70"/>
    </row>
    <row r="890" ht="14.25" customHeight="1">
      <c r="A890" s="70"/>
      <c r="B890" s="70"/>
      <c r="C890" s="70"/>
      <c r="D890" s="70"/>
      <c r="E890" s="5"/>
      <c r="F890" s="70"/>
      <c r="G890" s="70"/>
      <c r="H890" s="70"/>
      <c r="I890" s="70"/>
      <c r="J890" s="70"/>
      <c r="K890" s="70"/>
      <c r="L890" s="70"/>
      <c r="M890" s="70"/>
      <c r="N890" s="70"/>
      <c r="O890" s="70"/>
      <c r="P890" s="70"/>
      <c r="Q890" s="70"/>
      <c r="R890" s="70"/>
      <c r="S890" s="70"/>
      <c r="T890" s="70"/>
      <c r="U890" s="70"/>
      <c r="V890" s="70"/>
      <c r="W890" s="70"/>
    </row>
    <row r="891" ht="14.25" customHeight="1">
      <c r="A891" s="70"/>
      <c r="B891" s="70"/>
      <c r="C891" s="70"/>
      <c r="D891" s="70"/>
      <c r="E891" s="5"/>
      <c r="F891" s="70"/>
      <c r="G891" s="70"/>
      <c r="H891" s="70"/>
      <c r="I891" s="70"/>
      <c r="J891" s="70"/>
      <c r="K891" s="70"/>
      <c r="L891" s="70"/>
      <c r="M891" s="70"/>
      <c r="N891" s="70"/>
      <c r="O891" s="70"/>
      <c r="P891" s="70"/>
      <c r="Q891" s="70"/>
      <c r="R891" s="70"/>
      <c r="S891" s="70"/>
      <c r="T891" s="70"/>
      <c r="U891" s="70"/>
      <c r="V891" s="70"/>
      <c r="W891" s="70"/>
    </row>
    <row r="892" ht="14.25" customHeight="1">
      <c r="A892" s="70"/>
      <c r="B892" s="70"/>
      <c r="C892" s="70"/>
      <c r="D892" s="70"/>
      <c r="E892" s="5"/>
      <c r="F892" s="70"/>
      <c r="G892" s="70"/>
      <c r="H892" s="70"/>
      <c r="I892" s="70"/>
      <c r="J892" s="70"/>
      <c r="K892" s="70"/>
      <c r="L892" s="70"/>
      <c r="M892" s="70"/>
      <c r="N892" s="70"/>
      <c r="O892" s="70"/>
      <c r="P892" s="70"/>
      <c r="Q892" s="70"/>
      <c r="R892" s="70"/>
      <c r="S892" s="70"/>
      <c r="T892" s="70"/>
      <c r="U892" s="70"/>
      <c r="V892" s="70"/>
      <c r="W892" s="70"/>
    </row>
    <row r="893" ht="14.25" customHeight="1">
      <c r="A893" s="70"/>
      <c r="B893" s="70"/>
      <c r="C893" s="70"/>
      <c r="D893" s="70"/>
      <c r="E893" s="5"/>
      <c r="F893" s="70"/>
      <c r="G893" s="70"/>
      <c r="H893" s="70"/>
      <c r="I893" s="70"/>
      <c r="J893" s="70"/>
      <c r="K893" s="70"/>
      <c r="L893" s="70"/>
      <c r="M893" s="70"/>
      <c r="N893" s="70"/>
      <c r="O893" s="70"/>
      <c r="P893" s="70"/>
      <c r="Q893" s="70"/>
      <c r="R893" s="70"/>
      <c r="S893" s="70"/>
      <c r="T893" s="70"/>
      <c r="U893" s="70"/>
      <c r="V893" s="70"/>
      <c r="W893" s="70"/>
    </row>
    <row r="894" ht="14.25" customHeight="1">
      <c r="A894" s="70"/>
      <c r="B894" s="70"/>
      <c r="C894" s="70"/>
      <c r="D894" s="70"/>
      <c r="E894" s="5"/>
      <c r="F894" s="70"/>
      <c r="G894" s="70"/>
      <c r="H894" s="70"/>
      <c r="I894" s="70"/>
      <c r="J894" s="70"/>
      <c r="K894" s="70"/>
      <c r="L894" s="70"/>
      <c r="M894" s="70"/>
      <c r="N894" s="70"/>
      <c r="O894" s="70"/>
      <c r="P894" s="70"/>
      <c r="Q894" s="70"/>
      <c r="R894" s="70"/>
      <c r="S894" s="70"/>
      <c r="T894" s="70"/>
      <c r="U894" s="70"/>
      <c r="V894" s="70"/>
      <c r="W894" s="70"/>
    </row>
    <row r="895" ht="14.25" customHeight="1">
      <c r="A895" s="70"/>
      <c r="B895" s="70"/>
      <c r="C895" s="70"/>
      <c r="D895" s="70"/>
      <c r="E895" s="5"/>
      <c r="F895" s="70"/>
      <c r="G895" s="70"/>
      <c r="H895" s="70"/>
      <c r="I895" s="70"/>
      <c r="J895" s="70"/>
      <c r="K895" s="70"/>
      <c r="L895" s="70"/>
      <c r="M895" s="70"/>
      <c r="N895" s="70"/>
      <c r="O895" s="70"/>
      <c r="P895" s="70"/>
      <c r="Q895" s="70"/>
      <c r="R895" s="70"/>
      <c r="S895" s="70"/>
      <c r="T895" s="70"/>
      <c r="U895" s="70"/>
      <c r="V895" s="70"/>
      <c r="W895" s="70"/>
    </row>
    <row r="896" ht="14.25" customHeight="1">
      <c r="A896" s="70"/>
      <c r="B896" s="70"/>
      <c r="C896" s="70"/>
      <c r="D896" s="70"/>
      <c r="E896" s="5"/>
      <c r="F896" s="70"/>
      <c r="G896" s="70"/>
      <c r="H896" s="70"/>
      <c r="I896" s="70"/>
      <c r="J896" s="70"/>
      <c r="K896" s="70"/>
      <c r="L896" s="70"/>
      <c r="M896" s="70"/>
      <c r="N896" s="70"/>
      <c r="O896" s="70"/>
      <c r="P896" s="70"/>
      <c r="Q896" s="70"/>
      <c r="R896" s="70"/>
      <c r="S896" s="70"/>
      <c r="T896" s="70"/>
      <c r="U896" s="70"/>
      <c r="V896" s="70"/>
      <c r="W896" s="70"/>
    </row>
    <row r="897" ht="14.25" customHeight="1">
      <c r="A897" s="70"/>
      <c r="B897" s="70"/>
      <c r="C897" s="70"/>
      <c r="D897" s="70"/>
      <c r="E897" s="5"/>
      <c r="F897" s="70"/>
      <c r="G897" s="70"/>
      <c r="H897" s="70"/>
      <c r="I897" s="70"/>
      <c r="J897" s="70"/>
      <c r="K897" s="70"/>
      <c r="L897" s="70"/>
      <c r="M897" s="70"/>
      <c r="N897" s="70"/>
      <c r="O897" s="70"/>
      <c r="P897" s="70"/>
      <c r="Q897" s="70"/>
      <c r="R897" s="70"/>
      <c r="S897" s="70"/>
      <c r="T897" s="70"/>
      <c r="U897" s="70"/>
      <c r="V897" s="70"/>
      <c r="W897" s="70"/>
    </row>
    <row r="898" ht="14.25" customHeight="1">
      <c r="A898" s="70"/>
      <c r="B898" s="70"/>
      <c r="C898" s="70"/>
      <c r="D898" s="70"/>
      <c r="E898" s="5"/>
      <c r="F898" s="70"/>
      <c r="G898" s="70"/>
      <c r="H898" s="70"/>
      <c r="I898" s="70"/>
      <c r="J898" s="70"/>
      <c r="K898" s="70"/>
      <c r="L898" s="70"/>
      <c r="M898" s="70"/>
      <c r="N898" s="70"/>
      <c r="O898" s="70"/>
      <c r="P898" s="70"/>
      <c r="Q898" s="70"/>
      <c r="R898" s="70"/>
      <c r="S898" s="70"/>
      <c r="T898" s="70"/>
      <c r="U898" s="70"/>
      <c r="V898" s="70"/>
      <c r="W898" s="70"/>
    </row>
    <row r="899" ht="14.25" customHeight="1">
      <c r="A899" s="70"/>
      <c r="B899" s="70"/>
      <c r="C899" s="70"/>
      <c r="D899" s="70"/>
      <c r="E899" s="5"/>
      <c r="F899" s="70"/>
      <c r="G899" s="70"/>
      <c r="H899" s="70"/>
      <c r="I899" s="70"/>
      <c r="J899" s="70"/>
      <c r="K899" s="70"/>
      <c r="L899" s="70"/>
      <c r="M899" s="70"/>
      <c r="N899" s="70"/>
      <c r="O899" s="70"/>
      <c r="P899" s="70"/>
      <c r="Q899" s="70"/>
      <c r="R899" s="70"/>
      <c r="S899" s="70"/>
      <c r="T899" s="70"/>
      <c r="U899" s="70"/>
      <c r="V899" s="70"/>
      <c r="W899" s="70"/>
    </row>
    <row r="900" ht="14.25" customHeight="1">
      <c r="A900" s="70"/>
      <c r="B900" s="70"/>
      <c r="C900" s="70"/>
      <c r="D900" s="70"/>
      <c r="E900" s="5"/>
      <c r="F900" s="70"/>
      <c r="G900" s="70"/>
      <c r="H900" s="70"/>
      <c r="I900" s="70"/>
      <c r="J900" s="70"/>
      <c r="K900" s="70"/>
      <c r="L900" s="70"/>
      <c r="M900" s="70"/>
      <c r="N900" s="70"/>
      <c r="O900" s="70"/>
      <c r="P900" s="70"/>
      <c r="Q900" s="70"/>
      <c r="R900" s="70"/>
      <c r="S900" s="70"/>
      <c r="T900" s="70"/>
      <c r="U900" s="70"/>
      <c r="V900" s="70"/>
      <c r="W900" s="70"/>
    </row>
    <row r="901" ht="14.25" customHeight="1">
      <c r="A901" s="70"/>
      <c r="B901" s="70"/>
      <c r="C901" s="70"/>
      <c r="D901" s="70"/>
      <c r="E901" s="5"/>
      <c r="F901" s="70"/>
      <c r="G901" s="70"/>
      <c r="H901" s="70"/>
      <c r="I901" s="70"/>
      <c r="J901" s="70"/>
      <c r="K901" s="70"/>
      <c r="L901" s="70"/>
      <c r="M901" s="70"/>
      <c r="N901" s="70"/>
      <c r="O901" s="70"/>
      <c r="P901" s="70"/>
      <c r="Q901" s="70"/>
      <c r="R901" s="70"/>
      <c r="S901" s="70"/>
      <c r="T901" s="70"/>
      <c r="U901" s="70"/>
      <c r="V901" s="70"/>
      <c r="W901" s="70"/>
    </row>
    <row r="902" ht="14.25" customHeight="1">
      <c r="A902" s="70"/>
      <c r="B902" s="70"/>
      <c r="C902" s="70"/>
      <c r="D902" s="70"/>
      <c r="E902" s="5"/>
      <c r="F902" s="70"/>
      <c r="G902" s="70"/>
      <c r="H902" s="70"/>
      <c r="I902" s="70"/>
      <c r="J902" s="70"/>
      <c r="K902" s="70"/>
      <c r="L902" s="70"/>
      <c r="M902" s="70"/>
      <c r="N902" s="70"/>
      <c r="O902" s="70"/>
      <c r="P902" s="70"/>
      <c r="Q902" s="70"/>
      <c r="R902" s="70"/>
      <c r="S902" s="70"/>
      <c r="T902" s="70"/>
      <c r="U902" s="70"/>
      <c r="V902" s="70"/>
      <c r="W902" s="70"/>
    </row>
    <row r="903" ht="14.25" customHeight="1">
      <c r="A903" s="70"/>
      <c r="B903" s="70"/>
      <c r="C903" s="70"/>
      <c r="D903" s="70"/>
      <c r="E903" s="5"/>
      <c r="F903" s="70"/>
      <c r="G903" s="70"/>
      <c r="H903" s="70"/>
      <c r="I903" s="70"/>
      <c r="J903" s="70"/>
      <c r="K903" s="70"/>
      <c r="L903" s="70"/>
      <c r="M903" s="70"/>
      <c r="N903" s="70"/>
      <c r="O903" s="70"/>
      <c r="P903" s="70"/>
      <c r="Q903" s="70"/>
      <c r="R903" s="70"/>
      <c r="S903" s="70"/>
      <c r="T903" s="70"/>
      <c r="U903" s="70"/>
      <c r="V903" s="70"/>
      <c r="W903" s="70"/>
    </row>
    <row r="904" ht="14.25" customHeight="1">
      <c r="A904" s="70"/>
      <c r="B904" s="70"/>
      <c r="C904" s="70"/>
      <c r="D904" s="70"/>
      <c r="E904" s="5"/>
      <c r="F904" s="70"/>
      <c r="G904" s="70"/>
      <c r="H904" s="70"/>
      <c r="I904" s="70"/>
      <c r="J904" s="70"/>
      <c r="K904" s="70"/>
      <c r="L904" s="70"/>
      <c r="M904" s="70"/>
      <c r="N904" s="70"/>
      <c r="O904" s="70"/>
      <c r="P904" s="70"/>
      <c r="Q904" s="70"/>
      <c r="R904" s="70"/>
      <c r="S904" s="70"/>
      <c r="T904" s="70"/>
      <c r="U904" s="70"/>
      <c r="V904" s="70"/>
      <c r="W904" s="70"/>
    </row>
    <row r="905" ht="14.25" customHeight="1">
      <c r="A905" s="70"/>
      <c r="B905" s="70"/>
      <c r="C905" s="70"/>
      <c r="D905" s="70"/>
      <c r="E905" s="5"/>
      <c r="F905" s="70"/>
      <c r="G905" s="70"/>
      <c r="H905" s="70"/>
      <c r="I905" s="70"/>
      <c r="J905" s="70"/>
      <c r="K905" s="70"/>
      <c r="L905" s="70"/>
      <c r="M905" s="70"/>
      <c r="N905" s="70"/>
      <c r="O905" s="70"/>
      <c r="P905" s="70"/>
      <c r="Q905" s="70"/>
      <c r="R905" s="70"/>
      <c r="S905" s="70"/>
      <c r="T905" s="70"/>
      <c r="U905" s="70"/>
      <c r="V905" s="70"/>
      <c r="W905" s="70"/>
    </row>
    <row r="906" ht="14.25" customHeight="1">
      <c r="A906" s="70"/>
      <c r="B906" s="70"/>
      <c r="C906" s="70"/>
      <c r="D906" s="70"/>
      <c r="E906" s="5"/>
      <c r="F906" s="70"/>
      <c r="G906" s="70"/>
      <c r="H906" s="70"/>
      <c r="I906" s="70"/>
      <c r="J906" s="70"/>
      <c r="K906" s="70"/>
      <c r="L906" s="70"/>
      <c r="M906" s="70"/>
      <c r="N906" s="70"/>
      <c r="O906" s="70"/>
      <c r="P906" s="70"/>
      <c r="Q906" s="70"/>
      <c r="R906" s="70"/>
      <c r="S906" s="70"/>
      <c r="T906" s="70"/>
      <c r="U906" s="70"/>
      <c r="V906" s="70"/>
      <c r="W906" s="70"/>
    </row>
    <row r="907" ht="14.25" customHeight="1">
      <c r="A907" s="70"/>
      <c r="B907" s="70"/>
      <c r="C907" s="70"/>
      <c r="D907" s="70"/>
      <c r="E907" s="5"/>
      <c r="F907" s="70"/>
      <c r="G907" s="70"/>
      <c r="H907" s="70"/>
      <c r="I907" s="70"/>
      <c r="J907" s="70"/>
      <c r="K907" s="70"/>
      <c r="L907" s="70"/>
      <c r="M907" s="70"/>
      <c r="N907" s="70"/>
      <c r="O907" s="70"/>
      <c r="P907" s="70"/>
      <c r="Q907" s="70"/>
      <c r="R907" s="70"/>
      <c r="S907" s="70"/>
      <c r="T907" s="70"/>
      <c r="U907" s="70"/>
      <c r="V907" s="70"/>
      <c r="W907" s="70"/>
    </row>
    <row r="908" ht="14.25" customHeight="1">
      <c r="A908" s="70"/>
      <c r="B908" s="70"/>
      <c r="C908" s="70"/>
      <c r="D908" s="70"/>
      <c r="E908" s="5"/>
      <c r="F908" s="70"/>
      <c r="G908" s="70"/>
      <c r="H908" s="70"/>
      <c r="I908" s="70"/>
      <c r="J908" s="70"/>
      <c r="K908" s="70"/>
      <c r="L908" s="70"/>
      <c r="M908" s="70"/>
      <c r="N908" s="70"/>
      <c r="O908" s="70"/>
      <c r="P908" s="70"/>
      <c r="Q908" s="70"/>
      <c r="R908" s="70"/>
      <c r="S908" s="70"/>
      <c r="T908" s="70"/>
      <c r="U908" s="70"/>
      <c r="V908" s="70"/>
      <c r="W908" s="70"/>
    </row>
    <row r="909" ht="14.25" customHeight="1">
      <c r="A909" s="70"/>
      <c r="B909" s="70"/>
      <c r="C909" s="70"/>
      <c r="D909" s="70"/>
      <c r="E909" s="5"/>
      <c r="F909" s="70"/>
      <c r="G909" s="70"/>
      <c r="H909" s="70"/>
      <c r="I909" s="70"/>
      <c r="J909" s="70"/>
      <c r="K909" s="70"/>
      <c r="L909" s="70"/>
      <c r="M909" s="70"/>
      <c r="N909" s="70"/>
      <c r="O909" s="70"/>
      <c r="P909" s="70"/>
      <c r="Q909" s="70"/>
      <c r="R909" s="70"/>
      <c r="S909" s="70"/>
      <c r="T909" s="70"/>
      <c r="U909" s="70"/>
      <c r="V909" s="70"/>
      <c r="W909" s="70"/>
    </row>
    <row r="910" ht="14.25" customHeight="1">
      <c r="A910" s="70"/>
      <c r="B910" s="70"/>
      <c r="C910" s="70"/>
      <c r="D910" s="70"/>
      <c r="E910" s="5"/>
      <c r="F910" s="70"/>
      <c r="G910" s="70"/>
      <c r="H910" s="70"/>
      <c r="I910" s="70"/>
      <c r="J910" s="70"/>
      <c r="K910" s="70"/>
      <c r="L910" s="70"/>
      <c r="M910" s="70"/>
      <c r="N910" s="70"/>
      <c r="O910" s="70"/>
      <c r="P910" s="70"/>
      <c r="Q910" s="70"/>
      <c r="R910" s="70"/>
      <c r="S910" s="70"/>
      <c r="T910" s="70"/>
      <c r="U910" s="70"/>
      <c r="V910" s="70"/>
      <c r="W910" s="70"/>
    </row>
    <row r="911" ht="14.25" customHeight="1">
      <c r="A911" s="70"/>
      <c r="B911" s="70"/>
      <c r="C911" s="70"/>
      <c r="D911" s="70"/>
      <c r="E911" s="5"/>
      <c r="F911" s="70"/>
      <c r="G911" s="70"/>
      <c r="H911" s="70"/>
      <c r="I911" s="70"/>
      <c r="J911" s="70"/>
      <c r="K911" s="70"/>
      <c r="L911" s="70"/>
      <c r="M911" s="70"/>
      <c r="N911" s="70"/>
      <c r="O911" s="70"/>
      <c r="P911" s="70"/>
      <c r="Q911" s="70"/>
      <c r="R911" s="70"/>
      <c r="S911" s="70"/>
      <c r="T911" s="70"/>
      <c r="U911" s="70"/>
      <c r="V911" s="70"/>
      <c r="W911" s="70"/>
    </row>
    <row r="912" ht="14.25" customHeight="1">
      <c r="A912" s="70"/>
      <c r="B912" s="70"/>
      <c r="C912" s="70"/>
      <c r="D912" s="70"/>
      <c r="E912" s="5"/>
      <c r="F912" s="70"/>
      <c r="G912" s="70"/>
      <c r="H912" s="70"/>
      <c r="I912" s="70"/>
      <c r="J912" s="70"/>
      <c r="K912" s="70"/>
      <c r="L912" s="70"/>
      <c r="M912" s="70"/>
      <c r="N912" s="70"/>
      <c r="O912" s="70"/>
      <c r="P912" s="70"/>
      <c r="Q912" s="70"/>
      <c r="R912" s="70"/>
      <c r="S912" s="70"/>
      <c r="T912" s="70"/>
      <c r="U912" s="70"/>
      <c r="V912" s="70"/>
      <c r="W912" s="70"/>
    </row>
    <row r="913" ht="14.25" customHeight="1">
      <c r="A913" s="70"/>
      <c r="B913" s="70"/>
      <c r="C913" s="70"/>
      <c r="D913" s="70"/>
      <c r="E913" s="5"/>
      <c r="F913" s="70"/>
      <c r="G913" s="70"/>
      <c r="H913" s="70"/>
      <c r="I913" s="70"/>
      <c r="J913" s="70"/>
      <c r="K913" s="70"/>
      <c r="L913" s="70"/>
      <c r="M913" s="70"/>
      <c r="N913" s="70"/>
      <c r="O913" s="70"/>
      <c r="P913" s="70"/>
      <c r="Q913" s="70"/>
      <c r="R913" s="70"/>
      <c r="S913" s="70"/>
      <c r="T913" s="70"/>
      <c r="U913" s="70"/>
      <c r="V913" s="70"/>
      <c r="W913" s="70"/>
    </row>
    <row r="914" ht="14.25" customHeight="1">
      <c r="A914" s="70"/>
      <c r="B914" s="70"/>
      <c r="C914" s="70"/>
      <c r="D914" s="70"/>
      <c r="E914" s="5"/>
      <c r="F914" s="70"/>
      <c r="G914" s="70"/>
      <c r="H914" s="70"/>
      <c r="I914" s="70"/>
      <c r="J914" s="70"/>
      <c r="K914" s="70"/>
      <c r="L914" s="70"/>
      <c r="M914" s="70"/>
      <c r="N914" s="70"/>
      <c r="O914" s="70"/>
      <c r="P914" s="70"/>
      <c r="Q914" s="70"/>
      <c r="R914" s="70"/>
      <c r="S914" s="70"/>
      <c r="T914" s="70"/>
      <c r="U914" s="70"/>
      <c r="V914" s="70"/>
      <c r="W914" s="70"/>
    </row>
    <row r="915" ht="14.25" customHeight="1">
      <c r="A915" s="70"/>
      <c r="B915" s="70"/>
      <c r="C915" s="70"/>
      <c r="D915" s="70"/>
      <c r="E915" s="5"/>
      <c r="F915" s="70"/>
      <c r="G915" s="70"/>
      <c r="H915" s="70"/>
      <c r="I915" s="70"/>
      <c r="J915" s="70"/>
      <c r="K915" s="70"/>
      <c r="L915" s="70"/>
      <c r="M915" s="70"/>
      <c r="N915" s="70"/>
      <c r="O915" s="70"/>
      <c r="P915" s="70"/>
      <c r="Q915" s="70"/>
      <c r="R915" s="70"/>
      <c r="S915" s="70"/>
      <c r="T915" s="70"/>
      <c r="U915" s="70"/>
      <c r="V915" s="70"/>
      <c r="W915" s="70"/>
    </row>
    <row r="916" ht="14.25" customHeight="1">
      <c r="A916" s="70"/>
      <c r="B916" s="70"/>
      <c r="C916" s="70"/>
      <c r="D916" s="70"/>
      <c r="E916" s="5"/>
      <c r="F916" s="70"/>
      <c r="G916" s="70"/>
      <c r="H916" s="70"/>
      <c r="I916" s="70"/>
      <c r="J916" s="70"/>
      <c r="K916" s="70"/>
      <c r="L916" s="70"/>
      <c r="M916" s="70"/>
      <c r="N916" s="70"/>
      <c r="O916" s="70"/>
      <c r="P916" s="70"/>
      <c r="Q916" s="70"/>
      <c r="R916" s="70"/>
      <c r="S916" s="70"/>
      <c r="T916" s="70"/>
      <c r="U916" s="70"/>
      <c r="V916" s="70"/>
      <c r="W916" s="70"/>
    </row>
    <row r="917" ht="14.25" customHeight="1">
      <c r="A917" s="70"/>
      <c r="B917" s="70"/>
      <c r="C917" s="70"/>
      <c r="D917" s="70"/>
      <c r="E917" s="5"/>
      <c r="F917" s="70"/>
      <c r="G917" s="70"/>
      <c r="H917" s="70"/>
      <c r="I917" s="70"/>
      <c r="J917" s="70"/>
      <c r="K917" s="70"/>
      <c r="L917" s="70"/>
      <c r="M917" s="70"/>
      <c r="N917" s="70"/>
      <c r="O917" s="70"/>
      <c r="P917" s="70"/>
      <c r="Q917" s="70"/>
      <c r="R917" s="70"/>
      <c r="S917" s="70"/>
      <c r="T917" s="70"/>
      <c r="U917" s="70"/>
      <c r="V917" s="70"/>
      <c r="W917" s="70"/>
    </row>
    <row r="918" ht="14.25" customHeight="1">
      <c r="A918" s="70"/>
      <c r="B918" s="70"/>
      <c r="C918" s="70"/>
      <c r="D918" s="70"/>
      <c r="E918" s="5"/>
      <c r="F918" s="70"/>
      <c r="G918" s="70"/>
      <c r="H918" s="70"/>
      <c r="I918" s="70"/>
      <c r="J918" s="70"/>
      <c r="K918" s="70"/>
      <c r="L918" s="70"/>
      <c r="M918" s="70"/>
      <c r="N918" s="70"/>
      <c r="O918" s="70"/>
      <c r="P918" s="70"/>
      <c r="Q918" s="70"/>
      <c r="R918" s="70"/>
      <c r="S918" s="70"/>
      <c r="T918" s="70"/>
      <c r="U918" s="70"/>
      <c r="V918" s="70"/>
      <c r="W918" s="70"/>
    </row>
    <row r="919" ht="14.25" customHeight="1">
      <c r="A919" s="70"/>
      <c r="B919" s="70"/>
      <c r="C919" s="70"/>
      <c r="D919" s="70"/>
      <c r="E919" s="5"/>
      <c r="F919" s="70"/>
      <c r="G919" s="70"/>
      <c r="H919" s="70"/>
      <c r="I919" s="70"/>
      <c r="J919" s="70"/>
      <c r="K919" s="70"/>
      <c r="L919" s="70"/>
      <c r="M919" s="70"/>
      <c r="N919" s="70"/>
      <c r="O919" s="70"/>
      <c r="P919" s="70"/>
      <c r="Q919" s="70"/>
      <c r="R919" s="70"/>
      <c r="S919" s="70"/>
      <c r="T919" s="70"/>
      <c r="U919" s="70"/>
      <c r="V919" s="70"/>
      <c r="W919" s="70"/>
    </row>
    <row r="920" ht="14.25" customHeight="1">
      <c r="A920" s="70"/>
      <c r="B920" s="70"/>
      <c r="C920" s="70"/>
      <c r="D920" s="70"/>
      <c r="E920" s="5"/>
      <c r="F920" s="70"/>
      <c r="G920" s="70"/>
      <c r="H920" s="70"/>
      <c r="I920" s="70"/>
      <c r="J920" s="70"/>
      <c r="K920" s="70"/>
      <c r="L920" s="70"/>
      <c r="M920" s="70"/>
      <c r="N920" s="70"/>
      <c r="O920" s="70"/>
      <c r="P920" s="70"/>
      <c r="Q920" s="70"/>
      <c r="R920" s="70"/>
      <c r="S920" s="70"/>
      <c r="T920" s="70"/>
      <c r="U920" s="70"/>
      <c r="V920" s="70"/>
      <c r="W920" s="70"/>
    </row>
    <row r="921" ht="14.25" customHeight="1">
      <c r="A921" s="70"/>
      <c r="B921" s="70"/>
      <c r="C921" s="70"/>
      <c r="D921" s="70"/>
      <c r="E921" s="5"/>
      <c r="F921" s="70"/>
      <c r="G921" s="70"/>
      <c r="H921" s="70"/>
      <c r="I921" s="70"/>
      <c r="J921" s="70"/>
      <c r="K921" s="70"/>
      <c r="L921" s="70"/>
      <c r="M921" s="70"/>
      <c r="N921" s="70"/>
      <c r="O921" s="70"/>
      <c r="P921" s="70"/>
      <c r="Q921" s="70"/>
      <c r="R921" s="70"/>
      <c r="S921" s="70"/>
      <c r="T921" s="70"/>
      <c r="U921" s="70"/>
      <c r="V921" s="70"/>
      <c r="W921" s="70"/>
    </row>
    <row r="922" ht="14.25" customHeight="1">
      <c r="A922" s="70"/>
      <c r="B922" s="70"/>
      <c r="C922" s="70"/>
      <c r="D922" s="70"/>
      <c r="E922" s="5"/>
      <c r="F922" s="70"/>
      <c r="G922" s="70"/>
      <c r="H922" s="70"/>
      <c r="I922" s="70"/>
      <c r="J922" s="70"/>
      <c r="K922" s="70"/>
      <c r="L922" s="70"/>
      <c r="M922" s="70"/>
      <c r="N922" s="70"/>
      <c r="O922" s="70"/>
      <c r="P922" s="70"/>
      <c r="Q922" s="70"/>
      <c r="R922" s="70"/>
      <c r="S922" s="70"/>
      <c r="T922" s="70"/>
      <c r="U922" s="70"/>
      <c r="V922" s="70"/>
      <c r="W922" s="70"/>
    </row>
    <row r="923" ht="14.25" customHeight="1">
      <c r="A923" s="70"/>
      <c r="B923" s="70"/>
      <c r="C923" s="70"/>
      <c r="D923" s="70"/>
      <c r="E923" s="5"/>
      <c r="F923" s="70"/>
      <c r="G923" s="70"/>
      <c r="H923" s="70"/>
      <c r="I923" s="70"/>
      <c r="J923" s="70"/>
      <c r="K923" s="70"/>
      <c r="L923" s="70"/>
      <c r="M923" s="70"/>
      <c r="N923" s="70"/>
      <c r="O923" s="70"/>
      <c r="P923" s="70"/>
      <c r="Q923" s="70"/>
      <c r="R923" s="70"/>
      <c r="S923" s="70"/>
      <c r="T923" s="70"/>
      <c r="U923" s="70"/>
      <c r="V923" s="70"/>
      <c r="W923" s="70"/>
    </row>
    <row r="924" ht="14.25" customHeight="1">
      <c r="A924" s="70"/>
      <c r="B924" s="70"/>
      <c r="C924" s="70"/>
      <c r="D924" s="70"/>
      <c r="E924" s="5"/>
      <c r="F924" s="70"/>
      <c r="G924" s="70"/>
      <c r="H924" s="70"/>
      <c r="I924" s="70"/>
      <c r="J924" s="70"/>
      <c r="K924" s="70"/>
      <c r="L924" s="70"/>
      <c r="M924" s="70"/>
      <c r="N924" s="70"/>
      <c r="O924" s="70"/>
      <c r="P924" s="70"/>
      <c r="Q924" s="70"/>
      <c r="R924" s="70"/>
      <c r="S924" s="70"/>
      <c r="T924" s="70"/>
      <c r="U924" s="70"/>
      <c r="V924" s="70"/>
      <c r="W924" s="70"/>
    </row>
    <row r="925" ht="14.25" customHeight="1">
      <c r="A925" s="70"/>
      <c r="B925" s="70"/>
      <c r="C925" s="70"/>
      <c r="D925" s="70"/>
      <c r="E925" s="5"/>
      <c r="F925" s="70"/>
      <c r="G925" s="70"/>
      <c r="H925" s="70"/>
      <c r="I925" s="70"/>
      <c r="J925" s="70"/>
      <c r="K925" s="70"/>
      <c r="L925" s="70"/>
      <c r="M925" s="70"/>
      <c r="N925" s="70"/>
      <c r="O925" s="70"/>
      <c r="P925" s="70"/>
      <c r="Q925" s="70"/>
      <c r="R925" s="70"/>
      <c r="S925" s="70"/>
      <c r="T925" s="70"/>
      <c r="U925" s="70"/>
      <c r="V925" s="70"/>
      <c r="W925" s="70"/>
    </row>
    <row r="926" ht="14.25" customHeight="1">
      <c r="A926" s="70"/>
      <c r="B926" s="70"/>
      <c r="C926" s="70"/>
      <c r="D926" s="70"/>
      <c r="E926" s="5"/>
      <c r="F926" s="70"/>
      <c r="G926" s="70"/>
      <c r="H926" s="70"/>
      <c r="I926" s="70"/>
      <c r="J926" s="70"/>
      <c r="K926" s="70"/>
      <c r="L926" s="70"/>
      <c r="M926" s="70"/>
      <c r="N926" s="70"/>
      <c r="O926" s="70"/>
      <c r="P926" s="70"/>
      <c r="Q926" s="70"/>
      <c r="R926" s="70"/>
      <c r="S926" s="70"/>
      <c r="T926" s="70"/>
      <c r="U926" s="70"/>
      <c r="V926" s="70"/>
      <c r="W926" s="70"/>
    </row>
    <row r="927" ht="14.25" customHeight="1">
      <c r="A927" s="70"/>
      <c r="B927" s="70"/>
      <c r="C927" s="70"/>
      <c r="D927" s="70"/>
      <c r="E927" s="5"/>
      <c r="F927" s="70"/>
      <c r="G927" s="70"/>
      <c r="H927" s="70"/>
      <c r="I927" s="70"/>
      <c r="J927" s="70"/>
      <c r="K927" s="70"/>
      <c r="L927" s="70"/>
      <c r="M927" s="70"/>
      <c r="N927" s="70"/>
      <c r="O927" s="70"/>
      <c r="P927" s="70"/>
      <c r="Q927" s="70"/>
      <c r="R927" s="70"/>
      <c r="S927" s="70"/>
      <c r="T927" s="70"/>
      <c r="U927" s="70"/>
      <c r="V927" s="70"/>
      <c r="W927" s="70"/>
    </row>
    <row r="928" ht="14.25" customHeight="1">
      <c r="A928" s="70"/>
      <c r="B928" s="70"/>
      <c r="C928" s="70"/>
      <c r="D928" s="70"/>
      <c r="E928" s="5"/>
      <c r="F928" s="70"/>
      <c r="G928" s="70"/>
      <c r="H928" s="70"/>
      <c r="I928" s="70"/>
      <c r="J928" s="70"/>
      <c r="K928" s="70"/>
      <c r="L928" s="70"/>
      <c r="M928" s="70"/>
      <c r="N928" s="70"/>
      <c r="O928" s="70"/>
      <c r="P928" s="70"/>
      <c r="Q928" s="70"/>
      <c r="R928" s="70"/>
      <c r="S928" s="70"/>
      <c r="T928" s="70"/>
      <c r="U928" s="70"/>
      <c r="V928" s="70"/>
      <c r="W928" s="70"/>
    </row>
    <row r="929" ht="14.25" customHeight="1">
      <c r="A929" s="70"/>
      <c r="B929" s="70"/>
      <c r="C929" s="70"/>
      <c r="D929" s="70"/>
      <c r="E929" s="5"/>
      <c r="F929" s="70"/>
      <c r="G929" s="70"/>
      <c r="H929" s="70"/>
      <c r="I929" s="70"/>
      <c r="J929" s="70"/>
      <c r="K929" s="70"/>
      <c r="L929" s="70"/>
      <c r="M929" s="70"/>
      <c r="N929" s="70"/>
      <c r="O929" s="70"/>
      <c r="P929" s="70"/>
      <c r="Q929" s="70"/>
      <c r="R929" s="70"/>
      <c r="S929" s="70"/>
      <c r="T929" s="70"/>
      <c r="U929" s="70"/>
      <c r="V929" s="70"/>
      <c r="W929" s="70"/>
    </row>
    <row r="930" ht="14.25" customHeight="1">
      <c r="A930" s="70"/>
      <c r="B930" s="70"/>
      <c r="C930" s="70"/>
      <c r="D930" s="70"/>
      <c r="E930" s="5"/>
      <c r="F930" s="70"/>
      <c r="G930" s="70"/>
      <c r="H930" s="70"/>
      <c r="I930" s="70"/>
      <c r="J930" s="70"/>
      <c r="K930" s="70"/>
      <c r="L930" s="70"/>
      <c r="M930" s="70"/>
      <c r="N930" s="70"/>
      <c r="O930" s="70"/>
      <c r="P930" s="70"/>
      <c r="Q930" s="70"/>
      <c r="R930" s="70"/>
      <c r="S930" s="70"/>
      <c r="T930" s="70"/>
      <c r="U930" s="70"/>
      <c r="V930" s="70"/>
      <c r="W930" s="70"/>
    </row>
    <row r="931" ht="14.25" customHeight="1">
      <c r="A931" s="70"/>
      <c r="B931" s="70"/>
      <c r="C931" s="70"/>
      <c r="D931" s="70"/>
      <c r="E931" s="5"/>
      <c r="F931" s="70"/>
      <c r="G931" s="70"/>
      <c r="H931" s="70"/>
      <c r="I931" s="70"/>
      <c r="J931" s="70"/>
      <c r="K931" s="70"/>
      <c r="L931" s="70"/>
      <c r="M931" s="70"/>
      <c r="N931" s="70"/>
      <c r="O931" s="70"/>
      <c r="P931" s="70"/>
      <c r="Q931" s="70"/>
      <c r="R931" s="70"/>
      <c r="S931" s="70"/>
      <c r="T931" s="70"/>
      <c r="U931" s="70"/>
      <c r="V931" s="70"/>
      <c r="W931" s="70"/>
    </row>
    <row r="932" ht="14.25" customHeight="1">
      <c r="A932" s="70"/>
      <c r="B932" s="70"/>
      <c r="C932" s="70"/>
      <c r="D932" s="70"/>
      <c r="E932" s="5"/>
      <c r="F932" s="70"/>
      <c r="G932" s="70"/>
      <c r="H932" s="70"/>
      <c r="I932" s="70"/>
      <c r="J932" s="70"/>
      <c r="K932" s="70"/>
      <c r="L932" s="70"/>
      <c r="M932" s="70"/>
      <c r="N932" s="70"/>
      <c r="O932" s="70"/>
      <c r="P932" s="70"/>
      <c r="Q932" s="70"/>
      <c r="R932" s="70"/>
      <c r="S932" s="70"/>
      <c r="T932" s="70"/>
      <c r="U932" s="70"/>
      <c r="V932" s="70"/>
      <c r="W932" s="70"/>
    </row>
    <row r="933" ht="14.25" customHeight="1">
      <c r="A933" s="70"/>
      <c r="B933" s="70"/>
      <c r="C933" s="70"/>
      <c r="D933" s="70"/>
      <c r="E933" s="5"/>
      <c r="F933" s="70"/>
      <c r="G933" s="70"/>
      <c r="H933" s="70"/>
      <c r="I933" s="70"/>
      <c r="J933" s="70"/>
      <c r="K933" s="70"/>
      <c r="L933" s="70"/>
      <c r="M933" s="70"/>
      <c r="N933" s="70"/>
      <c r="O933" s="70"/>
      <c r="P933" s="70"/>
      <c r="Q933" s="70"/>
      <c r="R933" s="70"/>
      <c r="S933" s="70"/>
      <c r="T933" s="70"/>
      <c r="U933" s="70"/>
      <c r="V933" s="70"/>
      <c r="W933" s="70"/>
    </row>
    <row r="934" ht="14.25" customHeight="1">
      <c r="A934" s="70"/>
      <c r="B934" s="70"/>
      <c r="C934" s="70"/>
      <c r="D934" s="70"/>
      <c r="E934" s="5"/>
      <c r="F934" s="70"/>
      <c r="G934" s="70"/>
      <c r="H934" s="70"/>
      <c r="I934" s="70"/>
      <c r="J934" s="70"/>
      <c r="K934" s="70"/>
      <c r="L934" s="70"/>
      <c r="M934" s="70"/>
      <c r="N934" s="70"/>
      <c r="O934" s="70"/>
      <c r="P934" s="70"/>
      <c r="Q934" s="70"/>
      <c r="R934" s="70"/>
      <c r="S934" s="70"/>
      <c r="T934" s="70"/>
      <c r="U934" s="70"/>
      <c r="V934" s="70"/>
      <c r="W934" s="70"/>
    </row>
    <row r="935" ht="14.25" customHeight="1">
      <c r="A935" s="70"/>
      <c r="B935" s="70"/>
      <c r="C935" s="70"/>
      <c r="D935" s="70"/>
      <c r="E935" s="5"/>
      <c r="F935" s="70"/>
      <c r="G935" s="70"/>
      <c r="H935" s="70"/>
      <c r="I935" s="70"/>
      <c r="J935" s="70"/>
      <c r="K935" s="70"/>
      <c r="L935" s="70"/>
      <c r="M935" s="70"/>
      <c r="N935" s="70"/>
      <c r="O935" s="70"/>
      <c r="P935" s="70"/>
      <c r="Q935" s="70"/>
      <c r="R935" s="70"/>
      <c r="S935" s="70"/>
      <c r="T935" s="70"/>
      <c r="U935" s="70"/>
      <c r="V935" s="70"/>
      <c r="W935" s="70"/>
    </row>
    <row r="936" ht="14.25" customHeight="1">
      <c r="A936" s="70"/>
      <c r="B936" s="70"/>
      <c r="C936" s="70"/>
      <c r="D936" s="70"/>
      <c r="E936" s="5"/>
      <c r="F936" s="70"/>
      <c r="G936" s="70"/>
      <c r="H936" s="70"/>
      <c r="I936" s="70"/>
      <c r="J936" s="70"/>
      <c r="K936" s="70"/>
      <c r="L936" s="70"/>
      <c r="M936" s="70"/>
      <c r="N936" s="70"/>
      <c r="O936" s="70"/>
      <c r="P936" s="70"/>
      <c r="Q936" s="70"/>
      <c r="R936" s="70"/>
      <c r="S936" s="70"/>
      <c r="T936" s="70"/>
      <c r="U936" s="70"/>
      <c r="V936" s="70"/>
      <c r="W936" s="70"/>
    </row>
    <row r="937" ht="14.25" customHeight="1">
      <c r="A937" s="70"/>
      <c r="B937" s="70"/>
      <c r="C937" s="70"/>
      <c r="D937" s="70"/>
      <c r="E937" s="5"/>
      <c r="F937" s="70"/>
      <c r="G937" s="70"/>
      <c r="H937" s="70"/>
      <c r="I937" s="70"/>
      <c r="J937" s="70"/>
      <c r="K937" s="70"/>
      <c r="L937" s="70"/>
      <c r="M937" s="70"/>
      <c r="N937" s="70"/>
      <c r="O937" s="70"/>
      <c r="P937" s="70"/>
      <c r="Q937" s="70"/>
      <c r="R937" s="70"/>
      <c r="S937" s="70"/>
      <c r="T937" s="70"/>
      <c r="U937" s="70"/>
      <c r="V937" s="70"/>
      <c r="W937" s="70"/>
    </row>
    <row r="938" ht="14.25" customHeight="1">
      <c r="A938" s="70"/>
      <c r="B938" s="70"/>
      <c r="C938" s="70"/>
      <c r="D938" s="70"/>
      <c r="E938" s="5"/>
      <c r="F938" s="70"/>
      <c r="G938" s="70"/>
      <c r="H938" s="70"/>
      <c r="I938" s="70"/>
      <c r="J938" s="70"/>
      <c r="K938" s="70"/>
      <c r="L938" s="70"/>
      <c r="M938" s="70"/>
      <c r="N938" s="70"/>
      <c r="O938" s="70"/>
      <c r="P938" s="70"/>
      <c r="Q938" s="70"/>
      <c r="R938" s="70"/>
      <c r="S938" s="70"/>
      <c r="T938" s="70"/>
      <c r="U938" s="70"/>
      <c r="V938" s="70"/>
      <c r="W938" s="70"/>
    </row>
    <row r="939" ht="14.25" customHeight="1">
      <c r="A939" s="70"/>
      <c r="B939" s="70"/>
      <c r="C939" s="70"/>
      <c r="D939" s="70"/>
      <c r="E939" s="5"/>
      <c r="F939" s="70"/>
      <c r="G939" s="70"/>
      <c r="H939" s="70"/>
      <c r="I939" s="70"/>
      <c r="J939" s="70"/>
      <c r="K939" s="70"/>
      <c r="L939" s="70"/>
      <c r="M939" s="70"/>
      <c r="N939" s="70"/>
      <c r="O939" s="70"/>
      <c r="P939" s="70"/>
      <c r="Q939" s="70"/>
      <c r="R939" s="70"/>
      <c r="S939" s="70"/>
      <c r="T939" s="70"/>
      <c r="U939" s="70"/>
      <c r="V939" s="70"/>
      <c r="W939" s="70"/>
    </row>
    <row r="940" ht="14.25" customHeight="1">
      <c r="A940" s="70"/>
      <c r="B940" s="70"/>
      <c r="C940" s="70"/>
      <c r="D940" s="70"/>
      <c r="E940" s="5"/>
      <c r="F940" s="70"/>
      <c r="G940" s="70"/>
      <c r="H940" s="70"/>
      <c r="I940" s="70"/>
      <c r="J940" s="70"/>
      <c r="K940" s="70"/>
      <c r="L940" s="70"/>
      <c r="M940" s="70"/>
      <c r="N940" s="70"/>
      <c r="O940" s="70"/>
      <c r="P940" s="70"/>
      <c r="Q940" s="70"/>
      <c r="R940" s="70"/>
      <c r="S940" s="70"/>
      <c r="T940" s="70"/>
      <c r="U940" s="70"/>
      <c r="V940" s="70"/>
      <c r="W940" s="70"/>
    </row>
    <row r="941" ht="14.25" customHeight="1">
      <c r="A941" s="70"/>
      <c r="B941" s="70"/>
      <c r="C941" s="70"/>
      <c r="D941" s="70"/>
      <c r="E941" s="5"/>
      <c r="F941" s="70"/>
      <c r="G941" s="70"/>
      <c r="H941" s="70"/>
      <c r="I941" s="70"/>
      <c r="J941" s="70"/>
      <c r="K941" s="70"/>
      <c r="L941" s="70"/>
      <c r="M941" s="70"/>
      <c r="N941" s="70"/>
      <c r="O941" s="70"/>
      <c r="P941" s="70"/>
      <c r="Q941" s="70"/>
      <c r="R941" s="70"/>
      <c r="S941" s="70"/>
      <c r="T941" s="70"/>
      <c r="U941" s="70"/>
      <c r="V941" s="70"/>
      <c r="W941" s="70"/>
    </row>
    <row r="942" ht="14.25" customHeight="1">
      <c r="A942" s="70"/>
      <c r="B942" s="70"/>
      <c r="C942" s="70"/>
      <c r="D942" s="70"/>
      <c r="E942" s="5"/>
      <c r="F942" s="70"/>
      <c r="G942" s="70"/>
      <c r="H942" s="70"/>
      <c r="I942" s="70"/>
      <c r="J942" s="70"/>
      <c r="K942" s="70"/>
      <c r="L942" s="70"/>
      <c r="M942" s="70"/>
      <c r="N942" s="70"/>
      <c r="O942" s="70"/>
      <c r="P942" s="70"/>
      <c r="Q942" s="70"/>
      <c r="R942" s="70"/>
      <c r="S942" s="70"/>
      <c r="T942" s="70"/>
      <c r="U942" s="70"/>
      <c r="V942" s="70"/>
      <c r="W942" s="70"/>
    </row>
    <row r="943" ht="14.25" customHeight="1">
      <c r="A943" s="70"/>
      <c r="B943" s="70"/>
      <c r="C943" s="70"/>
      <c r="D943" s="70"/>
      <c r="E943" s="5"/>
      <c r="F943" s="70"/>
      <c r="G943" s="70"/>
      <c r="H943" s="70"/>
      <c r="I943" s="70"/>
      <c r="J943" s="70"/>
      <c r="K943" s="70"/>
      <c r="L943" s="70"/>
      <c r="M943" s="70"/>
      <c r="N943" s="70"/>
      <c r="O943" s="70"/>
      <c r="P943" s="70"/>
      <c r="Q943" s="70"/>
      <c r="R943" s="70"/>
      <c r="S943" s="70"/>
      <c r="T943" s="70"/>
      <c r="U943" s="70"/>
      <c r="V943" s="70"/>
      <c r="W943" s="70"/>
    </row>
    <row r="944" ht="14.25" customHeight="1">
      <c r="A944" s="70"/>
      <c r="B944" s="70"/>
      <c r="C944" s="70"/>
      <c r="D944" s="70"/>
      <c r="E944" s="5"/>
      <c r="F944" s="70"/>
      <c r="G944" s="70"/>
      <c r="H944" s="70"/>
      <c r="I944" s="70"/>
      <c r="J944" s="70"/>
      <c r="K944" s="70"/>
      <c r="L944" s="70"/>
      <c r="M944" s="70"/>
      <c r="N944" s="70"/>
      <c r="O944" s="70"/>
      <c r="P944" s="70"/>
      <c r="Q944" s="70"/>
      <c r="R944" s="70"/>
      <c r="S944" s="70"/>
      <c r="T944" s="70"/>
      <c r="U944" s="70"/>
      <c r="V944" s="70"/>
      <c r="W944" s="70"/>
    </row>
    <row r="945" ht="14.25" customHeight="1">
      <c r="A945" s="70"/>
      <c r="B945" s="70"/>
      <c r="C945" s="70"/>
      <c r="D945" s="70"/>
      <c r="E945" s="5"/>
      <c r="F945" s="70"/>
      <c r="G945" s="70"/>
      <c r="H945" s="70"/>
      <c r="I945" s="70"/>
      <c r="J945" s="70"/>
      <c r="K945" s="70"/>
      <c r="L945" s="70"/>
      <c r="M945" s="70"/>
      <c r="N945" s="70"/>
      <c r="O945" s="70"/>
      <c r="P945" s="70"/>
      <c r="Q945" s="70"/>
      <c r="R945" s="70"/>
      <c r="S945" s="70"/>
      <c r="T945" s="70"/>
      <c r="U945" s="70"/>
      <c r="V945" s="70"/>
      <c r="W945" s="70"/>
    </row>
    <row r="946" ht="14.25" customHeight="1">
      <c r="A946" s="70"/>
      <c r="B946" s="70"/>
      <c r="C946" s="70"/>
      <c r="D946" s="70"/>
      <c r="E946" s="5"/>
      <c r="F946" s="70"/>
      <c r="G946" s="70"/>
      <c r="H946" s="70"/>
      <c r="I946" s="70"/>
      <c r="J946" s="70"/>
      <c r="K946" s="70"/>
      <c r="L946" s="70"/>
      <c r="M946" s="70"/>
      <c r="N946" s="70"/>
      <c r="O946" s="70"/>
      <c r="P946" s="70"/>
      <c r="Q946" s="70"/>
      <c r="R946" s="70"/>
      <c r="S946" s="70"/>
      <c r="T946" s="70"/>
      <c r="U946" s="70"/>
      <c r="V946" s="70"/>
      <c r="W946" s="70"/>
    </row>
    <row r="947" ht="14.25" customHeight="1">
      <c r="A947" s="70"/>
      <c r="B947" s="70"/>
      <c r="C947" s="70"/>
      <c r="D947" s="70"/>
      <c r="E947" s="5"/>
      <c r="F947" s="70"/>
      <c r="G947" s="70"/>
      <c r="H947" s="70"/>
      <c r="I947" s="70"/>
      <c r="J947" s="70"/>
      <c r="K947" s="70"/>
      <c r="L947" s="70"/>
      <c r="M947" s="70"/>
      <c r="N947" s="70"/>
      <c r="O947" s="70"/>
      <c r="P947" s="70"/>
      <c r="Q947" s="70"/>
      <c r="R947" s="70"/>
      <c r="S947" s="70"/>
      <c r="T947" s="70"/>
      <c r="U947" s="70"/>
      <c r="V947" s="70"/>
      <c r="W947" s="70"/>
    </row>
    <row r="948" ht="14.25" customHeight="1">
      <c r="A948" s="70"/>
      <c r="B948" s="70"/>
      <c r="C948" s="70"/>
      <c r="D948" s="70"/>
      <c r="E948" s="5"/>
      <c r="F948" s="70"/>
      <c r="G948" s="70"/>
      <c r="H948" s="70"/>
      <c r="I948" s="70"/>
      <c r="J948" s="70"/>
      <c r="K948" s="70"/>
      <c r="L948" s="70"/>
      <c r="M948" s="70"/>
      <c r="N948" s="70"/>
      <c r="O948" s="70"/>
      <c r="P948" s="70"/>
      <c r="Q948" s="70"/>
      <c r="R948" s="70"/>
      <c r="S948" s="70"/>
      <c r="T948" s="70"/>
      <c r="U948" s="70"/>
      <c r="V948" s="70"/>
      <c r="W948" s="70"/>
    </row>
    <row r="949" ht="14.25" customHeight="1">
      <c r="A949" s="70"/>
      <c r="B949" s="70"/>
      <c r="C949" s="70"/>
      <c r="D949" s="70"/>
      <c r="E949" s="5"/>
      <c r="F949" s="70"/>
      <c r="G949" s="70"/>
      <c r="H949" s="70"/>
      <c r="I949" s="70"/>
      <c r="J949" s="70"/>
      <c r="K949" s="70"/>
      <c r="L949" s="70"/>
      <c r="M949" s="70"/>
      <c r="N949" s="70"/>
      <c r="O949" s="70"/>
      <c r="P949" s="70"/>
      <c r="Q949" s="70"/>
      <c r="R949" s="70"/>
      <c r="S949" s="70"/>
      <c r="T949" s="70"/>
      <c r="U949" s="70"/>
      <c r="V949" s="70"/>
      <c r="W949" s="70"/>
    </row>
    <row r="950" ht="14.25" customHeight="1">
      <c r="A950" s="70"/>
      <c r="B950" s="70"/>
      <c r="C950" s="70"/>
      <c r="D950" s="70"/>
      <c r="E950" s="5"/>
      <c r="F950" s="70"/>
      <c r="G950" s="70"/>
      <c r="H950" s="70"/>
      <c r="I950" s="70"/>
      <c r="J950" s="70"/>
      <c r="K950" s="70"/>
      <c r="L950" s="70"/>
      <c r="M950" s="70"/>
      <c r="N950" s="70"/>
      <c r="O950" s="70"/>
      <c r="P950" s="70"/>
      <c r="Q950" s="70"/>
      <c r="R950" s="70"/>
      <c r="S950" s="70"/>
      <c r="T950" s="70"/>
      <c r="U950" s="70"/>
      <c r="V950" s="70"/>
      <c r="W950" s="70"/>
    </row>
    <row r="951" ht="14.25" customHeight="1">
      <c r="A951" s="70"/>
      <c r="B951" s="70"/>
      <c r="C951" s="70"/>
      <c r="D951" s="70"/>
      <c r="E951" s="5"/>
      <c r="F951" s="70"/>
      <c r="G951" s="70"/>
      <c r="H951" s="70"/>
      <c r="I951" s="70"/>
      <c r="J951" s="70"/>
      <c r="K951" s="70"/>
      <c r="L951" s="70"/>
      <c r="M951" s="70"/>
      <c r="N951" s="70"/>
      <c r="O951" s="70"/>
      <c r="P951" s="70"/>
      <c r="Q951" s="70"/>
      <c r="R951" s="70"/>
      <c r="S951" s="70"/>
      <c r="T951" s="70"/>
      <c r="U951" s="70"/>
      <c r="V951" s="70"/>
      <c r="W951" s="70"/>
    </row>
    <row r="952" ht="14.25" customHeight="1">
      <c r="A952" s="70"/>
      <c r="B952" s="70"/>
      <c r="C952" s="70"/>
      <c r="D952" s="70"/>
      <c r="E952" s="5"/>
      <c r="F952" s="70"/>
      <c r="G952" s="70"/>
      <c r="H952" s="70"/>
      <c r="I952" s="70"/>
      <c r="J952" s="70"/>
      <c r="K952" s="70"/>
      <c r="L952" s="70"/>
      <c r="M952" s="70"/>
      <c r="N952" s="70"/>
      <c r="O952" s="70"/>
      <c r="P952" s="70"/>
      <c r="Q952" s="70"/>
      <c r="R952" s="70"/>
      <c r="S952" s="70"/>
      <c r="T952" s="70"/>
      <c r="U952" s="70"/>
      <c r="V952" s="70"/>
      <c r="W952" s="70"/>
    </row>
    <row r="953" ht="14.25" customHeight="1">
      <c r="A953" s="70"/>
      <c r="B953" s="70"/>
      <c r="C953" s="70"/>
      <c r="D953" s="70"/>
      <c r="E953" s="5"/>
      <c r="F953" s="70"/>
      <c r="G953" s="70"/>
      <c r="H953" s="70"/>
      <c r="I953" s="70"/>
      <c r="J953" s="70"/>
      <c r="K953" s="70"/>
      <c r="L953" s="70"/>
      <c r="M953" s="70"/>
      <c r="N953" s="70"/>
      <c r="O953" s="70"/>
      <c r="P953" s="70"/>
      <c r="Q953" s="70"/>
      <c r="R953" s="70"/>
      <c r="S953" s="70"/>
      <c r="T953" s="70"/>
      <c r="U953" s="70"/>
      <c r="V953" s="70"/>
      <c r="W953" s="70"/>
    </row>
    <row r="954" ht="14.25" customHeight="1">
      <c r="A954" s="70"/>
      <c r="B954" s="70"/>
      <c r="C954" s="70"/>
      <c r="D954" s="70"/>
      <c r="E954" s="5"/>
      <c r="F954" s="70"/>
      <c r="G954" s="70"/>
      <c r="H954" s="70"/>
      <c r="I954" s="70"/>
      <c r="J954" s="70"/>
      <c r="K954" s="70"/>
      <c r="L954" s="70"/>
      <c r="M954" s="70"/>
      <c r="N954" s="70"/>
      <c r="O954" s="70"/>
      <c r="P954" s="70"/>
      <c r="Q954" s="70"/>
      <c r="R954" s="70"/>
      <c r="S954" s="70"/>
      <c r="T954" s="70"/>
      <c r="U954" s="70"/>
      <c r="V954" s="70"/>
      <c r="W954" s="70"/>
    </row>
    <row r="955" ht="14.25" customHeight="1">
      <c r="A955" s="70"/>
      <c r="B955" s="70"/>
      <c r="C955" s="70"/>
      <c r="D955" s="70"/>
      <c r="E955" s="5"/>
      <c r="F955" s="70"/>
      <c r="G955" s="70"/>
      <c r="H955" s="70"/>
      <c r="I955" s="70"/>
      <c r="J955" s="70"/>
      <c r="K955" s="70"/>
      <c r="L955" s="70"/>
      <c r="M955" s="70"/>
      <c r="N955" s="70"/>
      <c r="O955" s="70"/>
      <c r="P955" s="70"/>
      <c r="Q955" s="70"/>
      <c r="R955" s="70"/>
      <c r="S955" s="70"/>
      <c r="T955" s="70"/>
      <c r="U955" s="70"/>
      <c r="V955" s="70"/>
      <c r="W955" s="70"/>
    </row>
    <row r="956" ht="14.25" customHeight="1">
      <c r="A956" s="70"/>
      <c r="B956" s="70"/>
      <c r="C956" s="70"/>
      <c r="D956" s="70"/>
      <c r="E956" s="5"/>
      <c r="F956" s="70"/>
      <c r="G956" s="70"/>
      <c r="H956" s="70"/>
      <c r="I956" s="70"/>
      <c r="J956" s="70"/>
      <c r="K956" s="70"/>
      <c r="L956" s="70"/>
      <c r="M956" s="70"/>
      <c r="N956" s="70"/>
      <c r="O956" s="70"/>
      <c r="P956" s="70"/>
      <c r="Q956" s="70"/>
      <c r="R956" s="70"/>
      <c r="S956" s="70"/>
      <c r="T956" s="70"/>
      <c r="U956" s="70"/>
      <c r="V956" s="70"/>
      <c r="W956" s="70"/>
    </row>
    <row r="957" ht="14.25" customHeight="1">
      <c r="A957" s="70"/>
      <c r="B957" s="70"/>
      <c r="C957" s="70"/>
      <c r="D957" s="70"/>
      <c r="E957" s="5"/>
      <c r="F957" s="70"/>
      <c r="G957" s="70"/>
      <c r="H957" s="70"/>
      <c r="I957" s="70"/>
      <c r="J957" s="70"/>
      <c r="K957" s="70"/>
      <c r="L957" s="70"/>
      <c r="M957" s="70"/>
      <c r="N957" s="70"/>
      <c r="O957" s="70"/>
      <c r="P957" s="70"/>
      <c r="Q957" s="70"/>
      <c r="R957" s="70"/>
      <c r="S957" s="70"/>
      <c r="T957" s="70"/>
      <c r="U957" s="70"/>
      <c r="V957" s="70"/>
      <c r="W957" s="70"/>
    </row>
    <row r="958" ht="14.25" customHeight="1">
      <c r="A958" s="70"/>
      <c r="B958" s="70"/>
      <c r="C958" s="70"/>
      <c r="D958" s="70"/>
      <c r="E958" s="5"/>
      <c r="F958" s="70"/>
      <c r="G958" s="70"/>
      <c r="H958" s="70"/>
      <c r="I958" s="70"/>
      <c r="J958" s="70"/>
      <c r="K958" s="70"/>
      <c r="L958" s="70"/>
      <c r="M958" s="70"/>
      <c r="N958" s="70"/>
      <c r="O958" s="70"/>
      <c r="P958" s="70"/>
      <c r="Q958" s="70"/>
      <c r="R958" s="70"/>
      <c r="S958" s="70"/>
      <c r="T958" s="70"/>
      <c r="U958" s="70"/>
      <c r="V958" s="70"/>
      <c r="W958" s="70"/>
    </row>
    <row r="959" ht="14.25" customHeight="1">
      <c r="A959" s="70"/>
      <c r="B959" s="70"/>
      <c r="C959" s="70"/>
      <c r="D959" s="70"/>
      <c r="E959" s="5"/>
      <c r="F959" s="70"/>
      <c r="G959" s="70"/>
      <c r="H959" s="70"/>
      <c r="I959" s="70"/>
      <c r="J959" s="70"/>
      <c r="K959" s="70"/>
      <c r="L959" s="70"/>
      <c r="M959" s="70"/>
      <c r="N959" s="70"/>
      <c r="O959" s="70"/>
      <c r="P959" s="70"/>
      <c r="Q959" s="70"/>
      <c r="R959" s="70"/>
      <c r="S959" s="70"/>
      <c r="T959" s="70"/>
      <c r="U959" s="70"/>
      <c r="V959" s="70"/>
      <c r="W959" s="70"/>
    </row>
    <row r="960" ht="14.25" customHeight="1">
      <c r="A960" s="70"/>
      <c r="B960" s="70"/>
      <c r="C960" s="70"/>
      <c r="D960" s="70"/>
      <c r="E960" s="5"/>
      <c r="F960" s="70"/>
      <c r="G960" s="70"/>
      <c r="H960" s="70"/>
      <c r="I960" s="70"/>
      <c r="J960" s="70"/>
      <c r="K960" s="70"/>
      <c r="L960" s="70"/>
      <c r="M960" s="70"/>
      <c r="N960" s="70"/>
      <c r="O960" s="70"/>
      <c r="P960" s="70"/>
      <c r="Q960" s="70"/>
      <c r="R960" s="70"/>
      <c r="S960" s="70"/>
      <c r="T960" s="70"/>
      <c r="U960" s="70"/>
      <c r="V960" s="70"/>
      <c r="W960" s="70"/>
    </row>
    <row r="961" ht="14.25" customHeight="1">
      <c r="A961" s="70"/>
      <c r="B961" s="70"/>
      <c r="C961" s="70"/>
      <c r="D961" s="70"/>
      <c r="E961" s="5"/>
      <c r="F961" s="70"/>
      <c r="G961" s="70"/>
      <c r="H961" s="70"/>
      <c r="I961" s="70"/>
      <c r="J961" s="70"/>
      <c r="K961" s="70"/>
      <c r="L961" s="70"/>
      <c r="M961" s="70"/>
      <c r="N961" s="70"/>
      <c r="O961" s="70"/>
      <c r="P961" s="70"/>
      <c r="Q961" s="70"/>
      <c r="R961" s="70"/>
      <c r="S961" s="70"/>
      <c r="T961" s="70"/>
      <c r="U961" s="70"/>
      <c r="V961" s="70"/>
      <c r="W961" s="70"/>
    </row>
    <row r="962" ht="14.25" customHeight="1">
      <c r="A962" s="70"/>
      <c r="B962" s="70"/>
      <c r="C962" s="70"/>
      <c r="D962" s="70"/>
      <c r="E962" s="5"/>
      <c r="F962" s="70"/>
      <c r="G962" s="70"/>
      <c r="H962" s="70"/>
      <c r="I962" s="70"/>
      <c r="J962" s="70"/>
      <c r="K962" s="70"/>
      <c r="L962" s="70"/>
      <c r="M962" s="70"/>
      <c r="N962" s="70"/>
      <c r="O962" s="70"/>
      <c r="P962" s="70"/>
      <c r="Q962" s="70"/>
      <c r="R962" s="70"/>
      <c r="S962" s="70"/>
      <c r="T962" s="70"/>
      <c r="U962" s="70"/>
      <c r="V962" s="70"/>
      <c r="W962" s="70"/>
    </row>
    <row r="963" ht="14.25" customHeight="1">
      <c r="A963" s="70"/>
      <c r="B963" s="70"/>
      <c r="C963" s="70"/>
      <c r="D963" s="70"/>
      <c r="E963" s="5"/>
      <c r="F963" s="70"/>
      <c r="G963" s="70"/>
      <c r="H963" s="70"/>
      <c r="I963" s="70"/>
      <c r="J963" s="70"/>
      <c r="K963" s="70"/>
      <c r="L963" s="70"/>
      <c r="M963" s="70"/>
      <c r="N963" s="70"/>
      <c r="O963" s="70"/>
      <c r="P963" s="70"/>
      <c r="Q963" s="70"/>
      <c r="R963" s="70"/>
      <c r="S963" s="70"/>
      <c r="T963" s="70"/>
      <c r="U963" s="70"/>
      <c r="V963" s="70"/>
      <c r="W963" s="70"/>
    </row>
    <row r="964" ht="14.25" customHeight="1">
      <c r="A964" s="70"/>
      <c r="B964" s="70"/>
      <c r="C964" s="70"/>
      <c r="D964" s="70"/>
      <c r="E964" s="5"/>
      <c r="F964" s="70"/>
      <c r="G964" s="70"/>
      <c r="H964" s="70"/>
      <c r="I964" s="70"/>
      <c r="J964" s="70"/>
      <c r="K964" s="70"/>
      <c r="L964" s="70"/>
      <c r="M964" s="70"/>
      <c r="N964" s="70"/>
      <c r="O964" s="70"/>
      <c r="P964" s="70"/>
      <c r="Q964" s="70"/>
      <c r="R964" s="70"/>
      <c r="S964" s="70"/>
      <c r="T964" s="70"/>
      <c r="U964" s="70"/>
      <c r="V964" s="70"/>
      <c r="W964" s="70"/>
    </row>
    <row r="965" ht="14.25" customHeight="1">
      <c r="A965" s="70"/>
      <c r="B965" s="70"/>
      <c r="C965" s="70"/>
      <c r="D965" s="70"/>
      <c r="E965" s="5"/>
      <c r="F965" s="70"/>
      <c r="G965" s="70"/>
      <c r="H965" s="70"/>
      <c r="I965" s="70"/>
      <c r="J965" s="70"/>
      <c r="K965" s="70"/>
      <c r="L965" s="70"/>
      <c r="M965" s="70"/>
      <c r="N965" s="70"/>
      <c r="O965" s="70"/>
      <c r="P965" s="70"/>
      <c r="Q965" s="70"/>
      <c r="R965" s="70"/>
      <c r="S965" s="70"/>
      <c r="T965" s="70"/>
      <c r="U965" s="70"/>
      <c r="V965" s="70"/>
      <c r="W965" s="70"/>
    </row>
    <row r="966" ht="14.25" customHeight="1">
      <c r="A966" s="70"/>
      <c r="B966" s="70"/>
      <c r="C966" s="70"/>
      <c r="D966" s="70"/>
      <c r="E966" s="5"/>
      <c r="F966" s="70"/>
      <c r="G966" s="70"/>
      <c r="H966" s="70"/>
      <c r="I966" s="70"/>
      <c r="J966" s="70"/>
      <c r="K966" s="70"/>
      <c r="L966" s="70"/>
      <c r="M966" s="70"/>
      <c r="N966" s="70"/>
      <c r="O966" s="70"/>
      <c r="P966" s="70"/>
      <c r="Q966" s="70"/>
      <c r="R966" s="70"/>
      <c r="S966" s="70"/>
      <c r="T966" s="70"/>
      <c r="U966" s="70"/>
      <c r="V966" s="70"/>
      <c r="W966" s="70"/>
    </row>
    <row r="967" ht="14.25" customHeight="1">
      <c r="A967" s="70"/>
      <c r="B967" s="70"/>
      <c r="C967" s="70"/>
      <c r="D967" s="70"/>
      <c r="E967" s="5"/>
      <c r="F967" s="70"/>
      <c r="G967" s="70"/>
      <c r="H967" s="70"/>
      <c r="I967" s="70"/>
      <c r="J967" s="70"/>
      <c r="K967" s="70"/>
      <c r="L967" s="70"/>
      <c r="M967" s="70"/>
      <c r="N967" s="70"/>
      <c r="O967" s="70"/>
      <c r="P967" s="70"/>
      <c r="Q967" s="70"/>
      <c r="R967" s="70"/>
      <c r="S967" s="70"/>
      <c r="T967" s="70"/>
      <c r="U967" s="70"/>
      <c r="V967" s="70"/>
      <c r="W967" s="70"/>
    </row>
    <row r="968" ht="14.25" customHeight="1">
      <c r="A968" s="70"/>
      <c r="B968" s="70"/>
      <c r="C968" s="70"/>
      <c r="D968" s="70"/>
      <c r="E968" s="5"/>
      <c r="F968" s="70"/>
      <c r="G968" s="70"/>
      <c r="H968" s="70"/>
      <c r="I968" s="70"/>
      <c r="J968" s="70"/>
      <c r="K968" s="70"/>
      <c r="L968" s="70"/>
      <c r="M968" s="70"/>
      <c r="N968" s="70"/>
      <c r="O968" s="70"/>
      <c r="P968" s="70"/>
      <c r="Q968" s="70"/>
      <c r="R968" s="70"/>
      <c r="S968" s="70"/>
      <c r="T968" s="70"/>
      <c r="U968" s="70"/>
      <c r="V968" s="70"/>
      <c r="W968" s="70"/>
    </row>
    <row r="969" ht="14.25" customHeight="1">
      <c r="A969" s="70"/>
      <c r="B969" s="70"/>
      <c r="C969" s="70"/>
      <c r="D969" s="70"/>
      <c r="E969" s="5"/>
      <c r="F969" s="70"/>
      <c r="G969" s="70"/>
      <c r="H969" s="70"/>
      <c r="I969" s="70"/>
      <c r="J969" s="70"/>
      <c r="K969" s="70"/>
      <c r="L969" s="70"/>
      <c r="M969" s="70"/>
      <c r="N969" s="70"/>
      <c r="O969" s="70"/>
      <c r="P969" s="70"/>
      <c r="Q969" s="70"/>
      <c r="R969" s="70"/>
      <c r="S969" s="70"/>
      <c r="T969" s="70"/>
      <c r="U969" s="70"/>
      <c r="V969" s="70"/>
      <c r="W969" s="70"/>
    </row>
    <row r="970" ht="14.25" customHeight="1">
      <c r="A970" s="70"/>
      <c r="B970" s="70"/>
      <c r="C970" s="70"/>
      <c r="D970" s="70"/>
      <c r="E970" s="5"/>
      <c r="F970" s="70"/>
      <c r="G970" s="70"/>
      <c r="H970" s="70"/>
      <c r="I970" s="70"/>
      <c r="J970" s="70"/>
      <c r="K970" s="70"/>
      <c r="L970" s="70"/>
      <c r="M970" s="70"/>
      <c r="N970" s="70"/>
      <c r="O970" s="70"/>
      <c r="P970" s="70"/>
      <c r="Q970" s="70"/>
      <c r="R970" s="70"/>
      <c r="S970" s="70"/>
      <c r="T970" s="70"/>
      <c r="U970" s="70"/>
      <c r="V970" s="70"/>
      <c r="W970" s="70"/>
    </row>
    <row r="971" ht="14.25" customHeight="1">
      <c r="A971" s="70"/>
      <c r="B971" s="70"/>
      <c r="C971" s="70"/>
      <c r="D971" s="70"/>
      <c r="E971" s="5"/>
      <c r="F971" s="70"/>
      <c r="G971" s="70"/>
      <c r="H971" s="70"/>
      <c r="I971" s="70"/>
      <c r="J971" s="70"/>
      <c r="K971" s="70"/>
      <c r="L971" s="70"/>
      <c r="M971" s="70"/>
      <c r="N971" s="70"/>
      <c r="O971" s="70"/>
      <c r="P971" s="70"/>
      <c r="Q971" s="70"/>
      <c r="R971" s="70"/>
      <c r="S971" s="70"/>
      <c r="T971" s="70"/>
      <c r="U971" s="70"/>
      <c r="V971" s="70"/>
      <c r="W971" s="70"/>
    </row>
    <row r="972" ht="14.25" customHeight="1">
      <c r="A972" s="70"/>
      <c r="B972" s="70"/>
      <c r="C972" s="70"/>
      <c r="D972" s="70"/>
      <c r="E972" s="5"/>
      <c r="F972" s="70"/>
      <c r="G972" s="70"/>
      <c r="H972" s="70"/>
      <c r="I972" s="70"/>
      <c r="J972" s="70"/>
      <c r="K972" s="70"/>
      <c r="L972" s="70"/>
      <c r="M972" s="70"/>
      <c r="N972" s="70"/>
      <c r="O972" s="70"/>
      <c r="P972" s="70"/>
      <c r="Q972" s="70"/>
      <c r="R972" s="70"/>
      <c r="S972" s="70"/>
      <c r="T972" s="70"/>
      <c r="U972" s="70"/>
      <c r="V972" s="70"/>
      <c r="W972" s="70"/>
    </row>
    <row r="973" ht="14.25" customHeight="1">
      <c r="A973" s="70"/>
      <c r="B973" s="70"/>
      <c r="C973" s="70"/>
      <c r="D973" s="70"/>
      <c r="E973" s="5"/>
      <c r="F973" s="70"/>
      <c r="G973" s="70"/>
      <c r="H973" s="70"/>
      <c r="I973" s="70"/>
      <c r="J973" s="70"/>
      <c r="K973" s="70"/>
      <c r="L973" s="70"/>
      <c r="M973" s="70"/>
      <c r="N973" s="70"/>
      <c r="O973" s="70"/>
      <c r="P973" s="70"/>
      <c r="Q973" s="70"/>
      <c r="R973" s="70"/>
      <c r="S973" s="70"/>
      <c r="T973" s="70"/>
      <c r="U973" s="70"/>
      <c r="V973" s="70"/>
      <c r="W973" s="70"/>
    </row>
    <row r="974" ht="14.25" customHeight="1">
      <c r="A974" s="70"/>
      <c r="B974" s="70"/>
      <c r="C974" s="70"/>
      <c r="D974" s="70"/>
      <c r="E974" s="5"/>
      <c r="F974" s="70"/>
      <c r="G974" s="70"/>
      <c r="H974" s="70"/>
      <c r="I974" s="70"/>
      <c r="J974" s="70"/>
      <c r="K974" s="70"/>
      <c r="L974" s="70"/>
      <c r="M974" s="70"/>
      <c r="N974" s="70"/>
      <c r="O974" s="70"/>
      <c r="P974" s="70"/>
      <c r="Q974" s="70"/>
      <c r="R974" s="70"/>
      <c r="S974" s="70"/>
      <c r="T974" s="70"/>
      <c r="U974" s="70"/>
      <c r="V974" s="70"/>
      <c r="W974" s="70"/>
    </row>
    <row r="975" ht="14.25" customHeight="1">
      <c r="A975" s="70"/>
      <c r="B975" s="70"/>
      <c r="C975" s="70"/>
      <c r="D975" s="70"/>
      <c r="E975" s="5"/>
      <c r="F975" s="70"/>
      <c r="G975" s="70"/>
      <c r="H975" s="70"/>
      <c r="I975" s="70"/>
      <c r="J975" s="70"/>
      <c r="K975" s="70"/>
      <c r="L975" s="70"/>
      <c r="M975" s="70"/>
      <c r="N975" s="70"/>
      <c r="O975" s="70"/>
      <c r="P975" s="70"/>
      <c r="Q975" s="70"/>
      <c r="R975" s="70"/>
      <c r="S975" s="70"/>
      <c r="T975" s="70"/>
      <c r="U975" s="70"/>
      <c r="V975" s="70"/>
      <c r="W975" s="70"/>
    </row>
    <row r="976" ht="14.25" customHeight="1">
      <c r="A976" s="70"/>
      <c r="B976" s="70"/>
      <c r="C976" s="70"/>
      <c r="D976" s="70"/>
      <c r="E976" s="5"/>
      <c r="F976" s="70"/>
      <c r="G976" s="70"/>
      <c r="H976" s="70"/>
      <c r="I976" s="70"/>
      <c r="J976" s="70"/>
      <c r="K976" s="70"/>
      <c r="L976" s="70"/>
      <c r="M976" s="70"/>
      <c r="N976" s="70"/>
      <c r="O976" s="70"/>
      <c r="P976" s="70"/>
      <c r="Q976" s="70"/>
      <c r="R976" s="70"/>
      <c r="S976" s="70"/>
      <c r="T976" s="70"/>
      <c r="U976" s="70"/>
      <c r="V976" s="70"/>
      <c r="W976" s="70"/>
    </row>
    <row r="977" ht="14.25" customHeight="1">
      <c r="A977" s="70"/>
      <c r="B977" s="70"/>
      <c r="C977" s="70"/>
      <c r="D977" s="70"/>
      <c r="E977" s="5"/>
      <c r="F977" s="70"/>
      <c r="G977" s="70"/>
      <c r="H977" s="70"/>
      <c r="I977" s="70"/>
      <c r="J977" s="70"/>
      <c r="K977" s="70"/>
      <c r="L977" s="70"/>
      <c r="M977" s="70"/>
      <c r="N977" s="70"/>
      <c r="O977" s="70"/>
      <c r="P977" s="70"/>
      <c r="Q977" s="70"/>
      <c r="R977" s="70"/>
      <c r="S977" s="70"/>
      <c r="T977" s="70"/>
      <c r="U977" s="70"/>
      <c r="V977" s="70"/>
      <c r="W977" s="70"/>
    </row>
    <row r="978" ht="14.25" customHeight="1">
      <c r="A978" s="70"/>
      <c r="B978" s="70"/>
      <c r="C978" s="70"/>
      <c r="D978" s="70"/>
      <c r="E978" s="5"/>
      <c r="F978" s="70"/>
      <c r="G978" s="70"/>
      <c r="H978" s="70"/>
      <c r="I978" s="70"/>
      <c r="J978" s="70"/>
      <c r="K978" s="70"/>
      <c r="L978" s="70"/>
      <c r="M978" s="70"/>
      <c r="N978" s="70"/>
      <c r="O978" s="70"/>
      <c r="P978" s="70"/>
      <c r="Q978" s="70"/>
      <c r="R978" s="70"/>
      <c r="S978" s="70"/>
      <c r="T978" s="70"/>
      <c r="U978" s="70"/>
      <c r="V978" s="70"/>
      <c r="W978" s="70"/>
    </row>
    <row r="979" ht="14.25" customHeight="1">
      <c r="A979" s="70"/>
      <c r="B979" s="70"/>
      <c r="C979" s="70"/>
      <c r="D979" s="70"/>
      <c r="E979" s="5"/>
      <c r="F979" s="70"/>
      <c r="G979" s="70"/>
      <c r="H979" s="70"/>
      <c r="I979" s="70"/>
      <c r="J979" s="70"/>
      <c r="K979" s="70"/>
      <c r="L979" s="70"/>
      <c r="M979" s="70"/>
      <c r="N979" s="70"/>
      <c r="O979" s="70"/>
      <c r="P979" s="70"/>
      <c r="Q979" s="70"/>
      <c r="R979" s="70"/>
      <c r="S979" s="70"/>
      <c r="T979" s="70"/>
      <c r="U979" s="70"/>
      <c r="V979" s="70"/>
      <c r="W979" s="70"/>
    </row>
    <row r="980" ht="14.25" customHeight="1">
      <c r="A980" s="70"/>
      <c r="B980" s="70"/>
      <c r="C980" s="70"/>
      <c r="D980" s="70"/>
      <c r="E980" s="5"/>
      <c r="F980" s="70"/>
      <c r="G980" s="70"/>
      <c r="H980" s="70"/>
      <c r="I980" s="70"/>
      <c r="J980" s="70"/>
      <c r="K980" s="70"/>
      <c r="L980" s="70"/>
      <c r="M980" s="70"/>
      <c r="N980" s="70"/>
      <c r="O980" s="70"/>
      <c r="P980" s="70"/>
      <c r="Q980" s="70"/>
      <c r="R980" s="70"/>
      <c r="S980" s="70"/>
      <c r="T980" s="70"/>
      <c r="U980" s="70"/>
      <c r="V980" s="70"/>
      <c r="W980" s="70"/>
    </row>
    <row r="981" ht="14.25" customHeight="1">
      <c r="A981" s="70"/>
      <c r="B981" s="70"/>
      <c r="C981" s="70"/>
      <c r="D981" s="70"/>
      <c r="E981" s="5"/>
      <c r="F981" s="70"/>
      <c r="G981" s="70"/>
      <c r="H981" s="70"/>
      <c r="I981" s="70"/>
      <c r="J981" s="70"/>
      <c r="K981" s="70"/>
      <c r="L981" s="70"/>
      <c r="M981" s="70"/>
      <c r="N981" s="70"/>
      <c r="O981" s="70"/>
      <c r="P981" s="70"/>
      <c r="Q981" s="70"/>
      <c r="R981" s="70"/>
      <c r="S981" s="70"/>
      <c r="T981" s="70"/>
      <c r="U981" s="70"/>
      <c r="V981" s="70"/>
      <c r="W981" s="70"/>
    </row>
    <row r="982" ht="14.25" customHeight="1">
      <c r="A982" s="70"/>
      <c r="B982" s="70"/>
      <c r="C982" s="70"/>
      <c r="D982" s="70"/>
      <c r="E982" s="5"/>
      <c r="F982" s="70"/>
      <c r="G982" s="70"/>
      <c r="H982" s="70"/>
      <c r="I982" s="70"/>
      <c r="J982" s="70"/>
      <c r="K982" s="70"/>
      <c r="L982" s="70"/>
      <c r="M982" s="70"/>
      <c r="N982" s="70"/>
      <c r="O982" s="70"/>
      <c r="P982" s="70"/>
      <c r="Q982" s="70"/>
      <c r="R982" s="70"/>
      <c r="S982" s="70"/>
      <c r="T982" s="70"/>
      <c r="U982" s="70"/>
      <c r="V982" s="70"/>
      <c r="W982" s="70"/>
    </row>
    <row r="983" ht="14.25" customHeight="1">
      <c r="A983" s="70"/>
      <c r="B983" s="70"/>
      <c r="C983" s="70"/>
      <c r="D983" s="70"/>
      <c r="E983" s="5"/>
      <c r="F983" s="70"/>
      <c r="G983" s="70"/>
      <c r="H983" s="70"/>
      <c r="I983" s="70"/>
      <c r="J983" s="70"/>
      <c r="K983" s="70"/>
      <c r="L983" s="70"/>
      <c r="M983" s="70"/>
      <c r="N983" s="70"/>
      <c r="O983" s="70"/>
      <c r="P983" s="70"/>
      <c r="Q983" s="70"/>
      <c r="R983" s="70"/>
      <c r="S983" s="70"/>
      <c r="T983" s="70"/>
      <c r="U983" s="70"/>
      <c r="V983" s="70"/>
      <c r="W983" s="70"/>
    </row>
    <row r="984" ht="14.25" customHeight="1">
      <c r="A984" s="70"/>
      <c r="B984" s="70"/>
      <c r="C984" s="70"/>
      <c r="D984" s="70"/>
      <c r="E984" s="5"/>
      <c r="F984" s="70"/>
      <c r="G984" s="70"/>
      <c r="H984" s="70"/>
      <c r="I984" s="70"/>
      <c r="J984" s="70"/>
      <c r="K984" s="70"/>
      <c r="L984" s="70"/>
      <c r="M984" s="70"/>
      <c r="N984" s="70"/>
      <c r="O984" s="70"/>
      <c r="P984" s="70"/>
      <c r="Q984" s="70"/>
      <c r="R984" s="70"/>
      <c r="S984" s="70"/>
      <c r="T984" s="70"/>
      <c r="U984" s="70"/>
      <c r="V984" s="70"/>
      <c r="W984" s="70"/>
    </row>
    <row r="985" ht="14.25" customHeight="1">
      <c r="A985" s="70"/>
      <c r="B985" s="70"/>
      <c r="C985" s="70"/>
      <c r="D985" s="70"/>
      <c r="E985" s="5"/>
      <c r="F985" s="70"/>
      <c r="G985" s="70"/>
      <c r="H985" s="70"/>
      <c r="I985" s="70"/>
      <c r="J985" s="70"/>
      <c r="K985" s="70"/>
      <c r="L985" s="70"/>
      <c r="M985" s="70"/>
      <c r="N985" s="70"/>
      <c r="O985" s="70"/>
      <c r="P985" s="70"/>
      <c r="Q985" s="70"/>
      <c r="R985" s="70"/>
      <c r="S985" s="70"/>
      <c r="T985" s="70"/>
      <c r="U985" s="70"/>
      <c r="V985" s="70"/>
      <c r="W985" s="70"/>
    </row>
    <row r="986" ht="14.25" customHeight="1">
      <c r="A986" s="70"/>
      <c r="B986" s="70"/>
      <c r="C986" s="70"/>
      <c r="D986" s="70"/>
      <c r="E986" s="5"/>
      <c r="F986" s="70"/>
      <c r="G986" s="70"/>
      <c r="H986" s="70"/>
      <c r="I986" s="70"/>
      <c r="J986" s="70"/>
      <c r="K986" s="70"/>
      <c r="L986" s="70"/>
      <c r="M986" s="70"/>
      <c r="N986" s="70"/>
      <c r="O986" s="70"/>
      <c r="P986" s="70"/>
      <c r="Q986" s="70"/>
      <c r="R986" s="70"/>
      <c r="S986" s="70"/>
      <c r="T986" s="70"/>
      <c r="U986" s="70"/>
      <c r="V986" s="70"/>
      <c r="W986" s="70"/>
    </row>
    <row r="987" ht="14.25" customHeight="1">
      <c r="A987" s="70"/>
      <c r="B987" s="70"/>
      <c r="C987" s="70"/>
      <c r="D987" s="70"/>
      <c r="E987" s="5"/>
      <c r="F987" s="70"/>
      <c r="G987" s="70"/>
      <c r="H987" s="70"/>
      <c r="I987" s="70"/>
      <c r="J987" s="70"/>
      <c r="K987" s="70"/>
      <c r="L987" s="70"/>
      <c r="M987" s="70"/>
      <c r="N987" s="70"/>
      <c r="O987" s="70"/>
      <c r="P987" s="70"/>
      <c r="Q987" s="70"/>
      <c r="R987" s="70"/>
      <c r="S987" s="70"/>
      <c r="T987" s="70"/>
      <c r="U987" s="70"/>
      <c r="V987" s="70"/>
      <c r="W987" s="70"/>
    </row>
    <row r="988" ht="14.25" customHeight="1">
      <c r="A988" s="70"/>
      <c r="B988" s="70"/>
      <c r="C988" s="70"/>
      <c r="D988" s="70"/>
      <c r="E988" s="5"/>
      <c r="F988" s="70"/>
      <c r="G988" s="70"/>
      <c r="H988" s="70"/>
      <c r="I988" s="70"/>
      <c r="J988" s="70"/>
      <c r="K988" s="70"/>
      <c r="L988" s="70"/>
      <c r="M988" s="70"/>
      <c r="N988" s="70"/>
      <c r="O988" s="70"/>
      <c r="P988" s="70"/>
      <c r="Q988" s="70"/>
      <c r="R988" s="70"/>
      <c r="S988" s="70"/>
      <c r="T988" s="70"/>
      <c r="U988" s="70"/>
      <c r="V988" s="70"/>
      <c r="W988" s="70"/>
    </row>
    <row r="989" ht="14.25" customHeight="1">
      <c r="A989" s="70"/>
      <c r="B989" s="70"/>
      <c r="C989" s="70"/>
      <c r="D989" s="70"/>
      <c r="E989" s="5"/>
      <c r="F989" s="70"/>
      <c r="G989" s="70"/>
      <c r="H989" s="70"/>
      <c r="I989" s="70"/>
      <c r="J989" s="70"/>
      <c r="K989" s="70"/>
      <c r="L989" s="70"/>
      <c r="M989" s="70"/>
      <c r="N989" s="70"/>
      <c r="O989" s="70"/>
      <c r="P989" s="70"/>
      <c r="Q989" s="70"/>
      <c r="R989" s="70"/>
      <c r="S989" s="70"/>
      <c r="T989" s="70"/>
      <c r="U989" s="70"/>
      <c r="V989" s="70"/>
      <c r="W989" s="70"/>
    </row>
    <row r="990" ht="14.25" customHeight="1">
      <c r="A990" s="70"/>
      <c r="B990" s="70"/>
      <c r="C990" s="70"/>
      <c r="D990" s="70"/>
      <c r="E990" s="5"/>
      <c r="F990" s="70"/>
      <c r="G990" s="70"/>
      <c r="H990" s="70"/>
      <c r="I990" s="70"/>
      <c r="J990" s="70"/>
      <c r="K990" s="70"/>
      <c r="L990" s="70"/>
      <c r="M990" s="70"/>
      <c r="N990" s="70"/>
      <c r="O990" s="70"/>
      <c r="P990" s="70"/>
      <c r="Q990" s="70"/>
      <c r="R990" s="70"/>
      <c r="S990" s="70"/>
      <c r="T990" s="70"/>
      <c r="U990" s="70"/>
      <c r="V990" s="70"/>
      <c r="W990" s="70"/>
    </row>
    <row r="991" ht="14.25" customHeight="1">
      <c r="A991" s="70"/>
      <c r="B991" s="70"/>
      <c r="C991" s="70"/>
      <c r="D991" s="70"/>
      <c r="E991" s="5"/>
      <c r="F991" s="70"/>
      <c r="G991" s="70"/>
      <c r="H991" s="70"/>
      <c r="I991" s="70"/>
      <c r="J991" s="70"/>
      <c r="K991" s="70"/>
      <c r="L991" s="70"/>
      <c r="M991" s="70"/>
      <c r="N991" s="70"/>
      <c r="O991" s="70"/>
      <c r="P991" s="70"/>
      <c r="Q991" s="70"/>
      <c r="R991" s="70"/>
      <c r="S991" s="70"/>
      <c r="T991" s="70"/>
      <c r="U991" s="70"/>
      <c r="V991" s="70"/>
      <c r="W991" s="70"/>
    </row>
    <row r="992" ht="14.25" customHeight="1">
      <c r="A992" s="70"/>
      <c r="B992" s="70"/>
      <c r="C992" s="70"/>
      <c r="D992" s="70"/>
      <c r="E992" s="5"/>
      <c r="F992" s="70"/>
      <c r="G992" s="70"/>
      <c r="H992" s="70"/>
      <c r="I992" s="70"/>
      <c r="J992" s="70"/>
      <c r="K992" s="70"/>
      <c r="L992" s="70"/>
      <c r="M992" s="70"/>
      <c r="N992" s="70"/>
      <c r="O992" s="70"/>
      <c r="P992" s="70"/>
      <c r="Q992" s="70"/>
      <c r="R992" s="70"/>
      <c r="S992" s="70"/>
      <c r="T992" s="70"/>
      <c r="U992" s="70"/>
      <c r="V992" s="70"/>
      <c r="W992" s="70"/>
    </row>
    <row r="993" ht="14.25" customHeight="1">
      <c r="A993" s="70"/>
      <c r="B993" s="70"/>
      <c r="C993" s="70"/>
      <c r="D993" s="70"/>
      <c r="E993" s="5"/>
      <c r="F993" s="70"/>
      <c r="G993" s="70"/>
      <c r="H993" s="70"/>
      <c r="I993" s="70"/>
      <c r="J993" s="70"/>
      <c r="K993" s="70"/>
      <c r="L993" s="70"/>
      <c r="M993" s="70"/>
      <c r="N993" s="70"/>
      <c r="O993" s="70"/>
      <c r="P993" s="70"/>
      <c r="Q993" s="70"/>
      <c r="R993" s="70"/>
      <c r="S993" s="70"/>
      <c r="T993" s="70"/>
      <c r="U993" s="70"/>
      <c r="V993" s="70"/>
      <c r="W993" s="70"/>
    </row>
    <row r="994" ht="14.25" customHeight="1">
      <c r="A994" s="70"/>
      <c r="B994" s="70"/>
      <c r="C994" s="70"/>
      <c r="D994" s="70"/>
      <c r="E994" s="5"/>
      <c r="F994" s="70"/>
      <c r="G994" s="70"/>
      <c r="H994" s="70"/>
      <c r="I994" s="70"/>
      <c r="J994" s="70"/>
      <c r="K994" s="70"/>
      <c r="L994" s="70"/>
      <c r="M994" s="70"/>
      <c r="N994" s="70"/>
      <c r="O994" s="70"/>
      <c r="P994" s="70"/>
      <c r="Q994" s="70"/>
      <c r="R994" s="70"/>
      <c r="S994" s="70"/>
      <c r="T994" s="70"/>
      <c r="U994" s="70"/>
      <c r="V994" s="70"/>
      <c r="W994" s="70"/>
    </row>
    <row r="995" ht="14.25" customHeight="1">
      <c r="A995" s="70"/>
      <c r="B995" s="70"/>
      <c r="C995" s="70"/>
      <c r="D995" s="70"/>
      <c r="E995" s="5"/>
      <c r="F995" s="70"/>
      <c r="G995" s="70"/>
      <c r="H995" s="70"/>
      <c r="I995" s="70"/>
      <c r="J995" s="70"/>
      <c r="K995" s="70"/>
      <c r="L995" s="70"/>
      <c r="M995" s="70"/>
      <c r="N995" s="70"/>
      <c r="O995" s="70"/>
      <c r="P995" s="70"/>
      <c r="Q995" s="70"/>
      <c r="R995" s="70"/>
      <c r="S995" s="70"/>
      <c r="T995" s="70"/>
      <c r="U995" s="70"/>
      <c r="V995" s="70"/>
      <c r="W995" s="70"/>
    </row>
    <row r="996" ht="14.25" customHeight="1">
      <c r="A996" s="70"/>
      <c r="B996" s="70"/>
      <c r="C996" s="70"/>
      <c r="D996" s="70"/>
      <c r="E996" s="5"/>
      <c r="F996" s="70"/>
      <c r="G996" s="70"/>
      <c r="H996" s="70"/>
      <c r="I996" s="70"/>
      <c r="J996" s="70"/>
      <c r="K996" s="70"/>
      <c r="L996" s="70"/>
      <c r="M996" s="70"/>
      <c r="N996" s="70"/>
      <c r="O996" s="70"/>
      <c r="P996" s="70"/>
      <c r="Q996" s="70"/>
      <c r="R996" s="70"/>
      <c r="S996" s="70"/>
      <c r="T996" s="70"/>
      <c r="U996" s="70"/>
      <c r="V996" s="70"/>
      <c r="W996" s="70"/>
    </row>
    <row r="997" ht="14.25" customHeight="1">
      <c r="A997" s="70"/>
      <c r="B997" s="70"/>
      <c r="C997" s="70"/>
      <c r="D997" s="70"/>
      <c r="E997" s="5"/>
      <c r="F997" s="70"/>
      <c r="G997" s="70"/>
      <c r="H997" s="70"/>
      <c r="I997" s="70"/>
      <c r="J997" s="70"/>
      <c r="K997" s="70"/>
      <c r="L997" s="70"/>
      <c r="M997" s="70"/>
      <c r="N997" s="70"/>
      <c r="O997" s="70"/>
      <c r="P997" s="70"/>
      <c r="Q997" s="70"/>
      <c r="R997" s="70"/>
      <c r="S997" s="70"/>
      <c r="T997" s="70"/>
      <c r="U997" s="70"/>
      <c r="V997" s="70"/>
      <c r="W997" s="70"/>
    </row>
    <row r="998" ht="14.25" customHeight="1">
      <c r="A998" s="70"/>
      <c r="B998" s="70"/>
      <c r="C998" s="70"/>
      <c r="D998" s="70"/>
      <c r="E998" s="5"/>
      <c r="F998" s="70"/>
      <c r="G998" s="70"/>
      <c r="H998" s="70"/>
      <c r="I998" s="70"/>
      <c r="J998" s="70"/>
      <c r="K998" s="70"/>
      <c r="L998" s="70"/>
      <c r="M998" s="70"/>
      <c r="N998" s="70"/>
      <c r="O998" s="70"/>
      <c r="P998" s="70"/>
      <c r="Q998" s="70"/>
      <c r="R998" s="70"/>
      <c r="S998" s="70"/>
      <c r="T998" s="70"/>
      <c r="U998" s="70"/>
      <c r="V998" s="70"/>
      <c r="W998" s="70"/>
    </row>
    <row r="999" ht="14.25" customHeight="1">
      <c r="A999" s="70"/>
      <c r="B999" s="70"/>
      <c r="C999" s="70"/>
      <c r="D999" s="70"/>
      <c r="E999" s="5"/>
      <c r="F999" s="70"/>
      <c r="G999" s="70"/>
      <c r="H999" s="70"/>
      <c r="I999" s="70"/>
      <c r="J999" s="70"/>
      <c r="K999" s="70"/>
      <c r="L999" s="70"/>
      <c r="M999" s="70"/>
      <c r="N999" s="70"/>
      <c r="O999" s="70"/>
      <c r="P999" s="70"/>
      <c r="Q999" s="70"/>
      <c r="R999" s="70"/>
      <c r="S999" s="70"/>
      <c r="T999" s="70"/>
      <c r="U999" s="70"/>
      <c r="V999" s="70"/>
      <c r="W999" s="70"/>
    </row>
    <row r="1000" ht="14.25" customHeight="1">
      <c r="A1000" s="70"/>
      <c r="B1000" s="70"/>
      <c r="C1000" s="70"/>
      <c r="D1000" s="70"/>
      <c r="E1000" s="5"/>
      <c r="F1000" s="70"/>
      <c r="G1000" s="70"/>
      <c r="H1000" s="70"/>
      <c r="I1000" s="70"/>
      <c r="J1000" s="70"/>
      <c r="K1000" s="70"/>
      <c r="L1000" s="70"/>
      <c r="M1000" s="70"/>
      <c r="N1000" s="70"/>
      <c r="O1000" s="70"/>
      <c r="P1000" s="70"/>
      <c r="Q1000" s="70"/>
      <c r="R1000" s="70"/>
      <c r="S1000" s="70"/>
      <c r="T1000" s="70"/>
      <c r="U1000" s="70"/>
      <c r="V1000" s="70"/>
      <c r="W1000" s="70"/>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0.63"/>
    <col customWidth="1" min="2" max="2" width="16.63"/>
    <col customWidth="1" min="3" max="8" width="32.25"/>
    <col customWidth="1" min="9" max="9" width="40.5"/>
    <col customWidth="1" min="10" max="10" width="10.63"/>
    <col customWidth="1" min="11" max="11" width="38.75"/>
    <col customWidth="1" min="12" max="24" width="9.63"/>
  </cols>
  <sheetData>
    <row r="1" ht="14.25" customHeight="1">
      <c r="A1" s="89" t="s">
        <v>1823</v>
      </c>
      <c r="B1" s="90" t="s">
        <v>1824</v>
      </c>
      <c r="C1" s="91" t="s">
        <v>1825</v>
      </c>
      <c r="D1" s="91" t="s">
        <v>3</v>
      </c>
      <c r="E1" s="91" t="s">
        <v>5</v>
      </c>
      <c r="F1" s="91" t="s">
        <v>2</v>
      </c>
      <c r="G1" s="91" t="s">
        <v>4</v>
      </c>
      <c r="H1" s="91" t="s">
        <v>6</v>
      </c>
      <c r="I1" s="91" t="s">
        <v>1826</v>
      </c>
      <c r="J1" s="92" t="s">
        <v>1827</v>
      </c>
      <c r="K1" s="91" t="s">
        <v>1827</v>
      </c>
      <c r="L1" s="93"/>
      <c r="M1" s="93"/>
      <c r="N1" s="93"/>
      <c r="O1" s="93"/>
      <c r="P1" s="93"/>
      <c r="Q1" s="93"/>
      <c r="R1" s="93"/>
      <c r="S1" s="93"/>
      <c r="T1" s="93"/>
      <c r="U1" s="93"/>
      <c r="V1" s="93"/>
      <c r="W1" s="93"/>
      <c r="X1" s="93"/>
    </row>
    <row r="2" ht="14.25" customHeight="1">
      <c r="A2" s="94" t="s">
        <v>1828</v>
      </c>
      <c r="B2" s="95" t="s">
        <v>1829</v>
      </c>
      <c r="C2" s="96" t="s">
        <v>13</v>
      </c>
      <c r="D2" s="97" t="s">
        <v>15</v>
      </c>
      <c r="E2" s="97" t="s">
        <v>17</v>
      </c>
      <c r="F2" s="97" t="s">
        <v>14</v>
      </c>
      <c r="G2" s="97" t="s">
        <v>16</v>
      </c>
      <c r="H2" s="96" t="s">
        <v>18</v>
      </c>
      <c r="I2" s="97" t="s">
        <v>20</v>
      </c>
      <c r="J2" s="96" t="s">
        <v>1830</v>
      </c>
      <c r="K2" s="95" t="s">
        <v>22</v>
      </c>
      <c r="L2" s="98"/>
      <c r="M2" s="98"/>
      <c r="N2" s="98"/>
      <c r="O2" s="98"/>
      <c r="P2" s="98"/>
      <c r="Q2" s="98"/>
      <c r="R2" s="98"/>
      <c r="S2" s="98"/>
      <c r="T2" s="98"/>
      <c r="U2" s="98"/>
      <c r="V2" s="98"/>
      <c r="W2" s="98"/>
      <c r="X2" s="98"/>
    </row>
    <row r="3" ht="14.25" customHeight="1">
      <c r="A3" s="82">
        <v>1.0</v>
      </c>
      <c r="B3" s="75" t="s">
        <v>1831</v>
      </c>
      <c r="C3" s="99" t="s">
        <v>1832</v>
      </c>
      <c r="D3" s="99" t="s">
        <v>1833</v>
      </c>
      <c r="E3" s="99" t="s">
        <v>1834</v>
      </c>
      <c r="F3" s="99" t="s">
        <v>1835</v>
      </c>
      <c r="G3" s="99" t="s">
        <v>1836</v>
      </c>
      <c r="H3" s="99" t="s">
        <v>1837</v>
      </c>
      <c r="I3" s="99"/>
      <c r="J3" s="75">
        <v>207.0</v>
      </c>
      <c r="K3" s="100" t="s">
        <v>1838</v>
      </c>
      <c r="L3" s="101"/>
      <c r="M3" s="102"/>
      <c r="N3" s="102"/>
      <c r="O3" s="102"/>
      <c r="P3" s="102"/>
      <c r="Q3" s="102"/>
      <c r="R3" s="102"/>
      <c r="S3" s="102"/>
      <c r="T3" s="102"/>
      <c r="U3" s="102"/>
      <c r="V3" s="102"/>
      <c r="W3" s="102"/>
      <c r="X3" s="102"/>
    </row>
    <row r="4" ht="14.25" customHeight="1">
      <c r="A4" s="87">
        <f t="shared" ref="A4:A17" si="1">A3+1</f>
        <v>2</v>
      </c>
      <c r="B4" s="2" t="s">
        <v>1831</v>
      </c>
      <c r="C4" s="103" t="s">
        <v>1839</v>
      </c>
      <c r="D4" s="103" t="s">
        <v>1840</v>
      </c>
      <c r="E4" s="103" t="s">
        <v>1841</v>
      </c>
      <c r="F4" s="103" t="s">
        <v>1842</v>
      </c>
      <c r="G4" s="103" t="s">
        <v>1843</v>
      </c>
      <c r="H4" s="103" t="s">
        <v>1844</v>
      </c>
      <c r="I4" s="103"/>
      <c r="J4" s="2">
        <f t="shared" ref="J4:J17" si="2">J3+1</f>
        <v>208</v>
      </c>
      <c r="K4" s="104" t="s">
        <v>1845</v>
      </c>
      <c r="L4" s="101"/>
      <c r="M4" s="102"/>
      <c r="N4" s="102"/>
      <c r="O4" s="102"/>
      <c r="P4" s="102"/>
      <c r="Q4" s="102"/>
      <c r="R4" s="102"/>
      <c r="S4" s="102"/>
      <c r="T4" s="102"/>
      <c r="U4" s="102"/>
      <c r="V4" s="102"/>
      <c r="W4" s="102"/>
      <c r="X4" s="102"/>
    </row>
    <row r="5" ht="14.25" customHeight="1">
      <c r="A5" s="87">
        <f t="shared" si="1"/>
        <v>3</v>
      </c>
      <c r="B5" s="2" t="s">
        <v>1831</v>
      </c>
      <c r="C5" s="103" t="s">
        <v>1846</v>
      </c>
      <c r="D5" s="103" t="s">
        <v>1847</v>
      </c>
      <c r="E5" s="103" t="s">
        <v>1848</v>
      </c>
      <c r="F5" s="103" t="s">
        <v>1849</v>
      </c>
      <c r="G5" s="103" t="s">
        <v>1850</v>
      </c>
      <c r="H5" s="103" t="s">
        <v>1851</v>
      </c>
      <c r="I5" s="103"/>
      <c r="J5" s="2">
        <f t="shared" si="2"/>
        <v>209</v>
      </c>
      <c r="K5" s="104"/>
      <c r="L5" s="101"/>
      <c r="M5" s="102"/>
      <c r="N5" s="102"/>
      <c r="O5" s="102"/>
      <c r="P5" s="102"/>
      <c r="Q5" s="102"/>
      <c r="R5" s="102"/>
      <c r="S5" s="102"/>
      <c r="T5" s="102"/>
      <c r="U5" s="102"/>
      <c r="V5" s="102"/>
      <c r="W5" s="102"/>
      <c r="X5" s="102"/>
    </row>
    <row r="6" ht="14.25" customHeight="1">
      <c r="A6" s="87">
        <f t="shared" si="1"/>
        <v>4</v>
      </c>
      <c r="B6" s="2" t="s">
        <v>1831</v>
      </c>
      <c r="C6" s="103" t="s">
        <v>1852</v>
      </c>
      <c r="D6" s="103" t="s">
        <v>1853</v>
      </c>
      <c r="E6" s="103" t="s">
        <v>1854</v>
      </c>
      <c r="F6" s="103" t="s">
        <v>1855</v>
      </c>
      <c r="G6" s="103" t="s">
        <v>1856</v>
      </c>
      <c r="H6" s="103" t="s">
        <v>1857</v>
      </c>
      <c r="I6" s="103"/>
      <c r="J6" s="2">
        <f t="shared" si="2"/>
        <v>210</v>
      </c>
      <c r="K6" s="104"/>
      <c r="L6" s="101"/>
      <c r="M6" s="102"/>
      <c r="N6" s="102"/>
      <c r="O6" s="102"/>
      <c r="P6" s="102"/>
      <c r="Q6" s="102"/>
      <c r="R6" s="102"/>
      <c r="S6" s="102"/>
      <c r="T6" s="102"/>
      <c r="U6" s="102"/>
      <c r="V6" s="102"/>
      <c r="W6" s="102"/>
      <c r="X6" s="102"/>
    </row>
    <row r="7" ht="14.25" customHeight="1">
      <c r="A7" s="87">
        <f t="shared" si="1"/>
        <v>5</v>
      </c>
      <c r="B7" s="2" t="s">
        <v>1831</v>
      </c>
      <c r="C7" s="103" t="s">
        <v>1858</v>
      </c>
      <c r="D7" s="103" t="s">
        <v>1859</v>
      </c>
      <c r="E7" s="103" t="s">
        <v>1860</v>
      </c>
      <c r="F7" s="103" t="s">
        <v>1861</v>
      </c>
      <c r="G7" s="103" t="s">
        <v>1862</v>
      </c>
      <c r="H7" s="103" t="s">
        <v>1863</v>
      </c>
      <c r="I7" s="103"/>
      <c r="J7" s="2">
        <f t="shared" si="2"/>
        <v>211</v>
      </c>
      <c r="K7" s="104"/>
      <c r="L7" s="101"/>
      <c r="M7" s="102"/>
      <c r="N7" s="102"/>
      <c r="O7" s="102"/>
      <c r="P7" s="102"/>
      <c r="Q7" s="102"/>
      <c r="R7" s="102"/>
      <c r="S7" s="102"/>
      <c r="T7" s="102"/>
      <c r="U7" s="102"/>
      <c r="V7" s="102"/>
      <c r="W7" s="102"/>
      <c r="X7" s="102"/>
    </row>
    <row r="8" ht="14.25" customHeight="1">
      <c r="A8" s="87">
        <f t="shared" si="1"/>
        <v>6</v>
      </c>
      <c r="B8" s="2" t="s">
        <v>1831</v>
      </c>
      <c r="C8" s="103" t="s">
        <v>1864</v>
      </c>
      <c r="D8" s="103" t="s">
        <v>1865</v>
      </c>
      <c r="E8" s="103" t="s">
        <v>1866</v>
      </c>
      <c r="F8" s="103" t="s">
        <v>1867</v>
      </c>
      <c r="G8" s="103" t="s">
        <v>1868</v>
      </c>
      <c r="H8" s="103" t="s">
        <v>1869</v>
      </c>
      <c r="I8" s="103"/>
      <c r="J8" s="2">
        <f t="shared" si="2"/>
        <v>212</v>
      </c>
      <c r="K8" s="104"/>
      <c r="L8" s="101"/>
      <c r="M8" s="102"/>
      <c r="N8" s="102"/>
      <c r="O8" s="102"/>
      <c r="P8" s="102"/>
      <c r="Q8" s="102"/>
      <c r="R8" s="102"/>
      <c r="S8" s="102"/>
      <c r="T8" s="102"/>
      <c r="U8" s="102"/>
      <c r="V8" s="102"/>
      <c r="W8" s="102"/>
      <c r="X8" s="102"/>
    </row>
    <row r="9" ht="14.25" customHeight="1">
      <c r="A9" s="87">
        <f t="shared" si="1"/>
        <v>7</v>
      </c>
      <c r="B9" s="2" t="s">
        <v>1831</v>
      </c>
      <c r="C9" s="103" t="s">
        <v>1870</v>
      </c>
      <c r="D9" s="103" t="s">
        <v>1871</v>
      </c>
      <c r="E9" s="103" t="s">
        <v>1872</v>
      </c>
      <c r="F9" s="103" t="s">
        <v>1873</v>
      </c>
      <c r="G9" s="103" t="s">
        <v>1874</v>
      </c>
      <c r="H9" s="103" t="s">
        <v>1875</v>
      </c>
      <c r="I9" s="103"/>
      <c r="J9" s="2">
        <f t="shared" si="2"/>
        <v>213</v>
      </c>
      <c r="K9" s="104"/>
      <c r="L9" s="101"/>
      <c r="M9" s="102"/>
      <c r="N9" s="102"/>
      <c r="O9" s="102"/>
      <c r="P9" s="102"/>
      <c r="Q9" s="102"/>
      <c r="R9" s="102"/>
      <c r="S9" s="102"/>
      <c r="T9" s="102"/>
      <c r="U9" s="102"/>
      <c r="V9" s="102"/>
      <c r="W9" s="102"/>
      <c r="X9" s="102"/>
    </row>
    <row r="10" ht="14.25" customHeight="1">
      <c r="A10" s="87">
        <f t="shared" si="1"/>
        <v>8</v>
      </c>
      <c r="B10" s="2" t="s">
        <v>1831</v>
      </c>
      <c r="C10" s="103" t="s">
        <v>1876</v>
      </c>
      <c r="D10" s="103" t="s">
        <v>1877</v>
      </c>
      <c r="E10" s="103" t="s">
        <v>1878</v>
      </c>
      <c r="F10" s="103" t="s">
        <v>1879</v>
      </c>
      <c r="G10" s="103" t="s">
        <v>1880</v>
      </c>
      <c r="H10" s="103" t="s">
        <v>1881</v>
      </c>
      <c r="I10" s="103"/>
      <c r="J10" s="2">
        <f t="shared" si="2"/>
        <v>214</v>
      </c>
      <c r="K10" s="104"/>
      <c r="L10" s="101"/>
      <c r="M10" s="102"/>
      <c r="N10" s="102"/>
      <c r="O10" s="102"/>
      <c r="P10" s="102"/>
      <c r="Q10" s="102"/>
      <c r="R10" s="102"/>
      <c r="S10" s="102"/>
      <c r="T10" s="102"/>
      <c r="U10" s="102"/>
      <c r="V10" s="102"/>
      <c r="W10" s="102"/>
      <c r="X10" s="102"/>
    </row>
    <row r="11" ht="14.25" customHeight="1">
      <c r="A11" s="87">
        <f t="shared" si="1"/>
        <v>9</v>
      </c>
      <c r="B11" s="2" t="s">
        <v>1831</v>
      </c>
      <c r="C11" s="103" t="s">
        <v>1882</v>
      </c>
      <c r="D11" s="105" t="s">
        <v>1883</v>
      </c>
      <c r="E11" s="103" t="s">
        <v>1884</v>
      </c>
      <c r="F11" s="103" t="s">
        <v>1885</v>
      </c>
      <c r="G11" s="103" t="s">
        <v>1886</v>
      </c>
      <c r="H11" s="103" t="s">
        <v>1887</v>
      </c>
      <c r="I11" s="103"/>
      <c r="J11" s="2">
        <f t="shared" si="2"/>
        <v>215</v>
      </c>
      <c r="K11" s="104"/>
      <c r="L11" s="101"/>
      <c r="M11" s="102"/>
      <c r="N11" s="102"/>
      <c r="O11" s="102"/>
      <c r="P11" s="102"/>
      <c r="Q11" s="102"/>
      <c r="R11" s="102"/>
      <c r="S11" s="102"/>
      <c r="T11" s="102"/>
      <c r="U11" s="102"/>
      <c r="V11" s="102"/>
      <c r="W11" s="102"/>
      <c r="X11" s="102"/>
    </row>
    <row r="12" ht="14.25" customHeight="1">
      <c r="A12" s="87">
        <f t="shared" si="1"/>
        <v>10</v>
      </c>
      <c r="B12" s="2" t="s">
        <v>1831</v>
      </c>
      <c r="C12" s="103" t="s">
        <v>1888</v>
      </c>
      <c r="D12" s="103" t="s">
        <v>1889</v>
      </c>
      <c r="E12" s="103" t="s">
        <v>1890</v>
      </c>
      <c r="F12" s="103" t="s">
        <v>1891</v>
      </c>
      <c r="G12" s="103" t="s">
        <v>1892</v>
      </c>
      <c r="H12" s="103" t="s">
        <v>1893</v>
      </c>
      <c r="I12" s="103"/>
      <c r="J12" s="2">
        <f t="shared" si="2"/>
        <v>216</v>
      </c>
      <c r="K12" s="104"/>
      <c r="L12" s="101"/>
      <c r="M12" s="102"/>
      <c r="N12" s="102"/>
      <c r="O12" s="102"/>
      <c r="P12" s="102"/>
      <c r="Q12" s="102"/>
      <c r="R12" s="102"/>
      <c r="S12" s="102"/>
      <c r="T12" s="102"/>
      <c r="U12" s="102"/>
      <c r="V12" s="102"/>
      <c r="W12" s="102"/>
      <c r="X12" s="102"/>
    </row>
    <row r="13" ht="14.25" customHeight="1">
      <c r="A13" s="87">
        <f t="shared" si="1"/>
        <v>11</v>
      </c>
      <c r="B13" s="2" t="s">
        <v>1831</v>
      </c>
      <c r="C13" s="103" t="s">
        <v>1894</v>
      </c>
      <c r="D13" s="103" t="s">
        <v>1895</v>
      </c>
      <c r="E13" s="103" t="s">
        <v>1896</v>
      </c>
      <c r="F13" s="103" t="s">
        <v>1897</v>
      </c>
      <c r="G13" s="103" t="s">
        <v>1898</v>
      </c>
      <c r="H13" s="103" t="s">
        <v>1899</v>
      </c>
      <c r="I13" s="103"/>
      <c r="J13" s="2">
        <f t="shared" si="2"/>
        <v>217</v>
      </c>
      <c r="K13" s="104"/>
      <c r="L13" s="101"/>
      <c r="M13" s="102"/>
      <c r="N13" s="102"/>
      <c r="O13" s="102"/>
      <c r="P13" s="102"/>
      <c r="Q13" s="102"/>
      <c r="R13" s="102"/>
      <c r="S13" s="102"/>
      <c r="T13" s="102"/>
      <c r="U13" s="102"/>
      <c r="V13" s="102"/>
      <c r="W13" s="102"/>
      <c r="X13" s="102"/>
    </row>
    <row r="14" ht="14.25" customHeight="1">
      <c r="A14" s="87">
        <f t="shared" si="1"/>
        <v>12</v>
      </c>
      <c r="B14" s="2" t="s">
        <v>1831</v>
      </c>
      <c r="C14" s="103" t="s">
        <v>1900</v>
      </c>
      <c r="D14" s="103" t="s">
        <v>1901</v>
      </c>
      <c r="E14" s="103" t="s">
        <v>1902</v>
      </c>
      <c r="F14" s="103" t="s">
        <v>1903</v>
      </c>
      <c r="G14" s="103" t="s">
        <v>1904</v>
      </c>
      <c r="H14" s="103" t="s">
        <v>1905</v>
      </c>
      <c r="I14" s="103"/>
      <c r="J14" s="2">
        <f t="shared" si="2"/>
        <v>218</v>
      </c>
      <c r="K14" s="104"/>
      <c r="L14" s="101"/>
      <c r="M14" s="102"/>
      <c r="N14" s="102"/>
      <c r="O14" s="102"/>
      <c r="P14" s="102"/>
      <c r="Q14" s="102"/>
      <c r="R14" s="102"/>
      <c r="S14" s="102"/>
      <c r="T14" s="102"/>
      <c r="U14" s="102"/>
      <c r="V14" s="102"/>
      <c r="W14" s="102"/>
      <c r="X14" s="102"/>
    </row>
    <row r="15" ht="14.25" customHeight="1">
      <c r="A15" s="87">
        <f t="shared" si="1"/>
        <v>13</v>
      </c>
      <c r="B15" s="2" t="s">
        <v>1831</v>
      </c>
      <c r="C15" s="103" t="s">
        <v>1906</v>
      </c>
      <c r="D15" s="103" t="s">
        <v>1907</v>
      </c>
      <c r="E15" s="103" t="s">
        <v>1908</v>
      </c>
      <c r="F15" s="103" t="s">
        <v>1909</v>
      </c>
      <c r="G15" s="103" t="s">
        <v>1910</v>
      </c>
      <c r="H15" s="103" t="s">
        <v>1911</v>
      </c>
      <c r="I15" s="103"/>
      <c r="J15" s="2">
        <f t="shared" si="2"/>
        <v>219</v>
      </c>
      <c r="K15" s="104"/>
      <c r="L15" s="101"/>
      <c r="M15" s="102"/>
      <c r="N15" s="102"/>
      <c r="O15" s="102"/>
      <c r="P15" s="102"/>
      <c r="Q15" s="102"/>
      <c r="R15" s="102"/>
      <c r="S15" s="102"/>
      <c r="T15" s="102"/>
      <c r="U15" s="102"/>
      <c r="V15" s="102"/>
      <c r="W15" s="102"/>
      <c r="X15" s="102"/>
    </row>
    <row r="16" ht="14.25" customHeight="1">
      <c r="A16" s="87">
        <f t="shared" si="1"/>
        <v>14</v>
      </c>
      <c r="B16" s="2" t="s">
        <v>1831</v>
      </c>
      <c r="C16" s="103" t="s">
        <v>1912</v>
      </c>
      <c r="D16" s="103" t="s">
        <v>1913</v>
      </c>
      <c r="E16" s="103" t="s">
        <v>1914</v>
      </c>
      <c r="F16" s="103" t="s">
        <v>1915</v>
      </c>
      <c r="G16" s="103" t="s">
        <v>1916</v>
      </c>
      <c r="H16" s="103" t="s">
        <v>1917</v>
      </c>
      <c r="I16" s="103"/>
      <c r="J16" s="2">
        <f t="shared" si="2"/>
        <v>220</v>
      </c>
      <c r="K16" s="104"/>
      <c r="L16" s="101"/>
      <c r="M16" s="102"/>
      <c r="N16" s="102"/>
      <c r="O16" s="102"/>
      <c r="P16" s="102"/>
      <c r="Q16" s="102"/>
      <c r="R16" s="102"/>
      <c r="S16" s="102"/>
      <c r="T16" s="102"/>
      <c r="U16" s="102"/>
      <c r="V16" s="102"/>
      <c r="W16" s="102"/>
      <c r="X16" s="102"/>
    </row>
    <row r="17" ht="14.25" customHeight="1">
      <c r="A17" s="79">
        <f t="shared" si="1"/>
        <v>15</v>
      </c>
      <c r="B17" s="80" t="s">
        <v>1831</v>
      </c>
      <c r="C17" s="106" t="s">
        <v>1918</v>
      </c>
      <c r="D17" s="106" t="s">
        <v>1919</v>
      </c>
      <c r="E17" s="106" t="s">
        <v>1920</v>
      </c>
      <c r="F17" s="106" t="s">
        <v>1921</v>
      </c>
      <c r="G17" s="106" t="s">
        <v>1922</v>
      </c>
      <c r="H17" s="106" t="s">
        <v>1923</v>
      </c>
      <c r="I17" s="106"/>
      <c r="J17" s="80">
        <f t="shared" si="2"/>
        <v>221</v>
      </c>
      <c r="K17" s="107"/>
      <c r="L17" s="101"/>
      <c r="M17" s="102"/>
      <c r="N17" s="102"/>
      <c r="O17" s="102"/>
      <c r="P17" s="102"/>
      <c r="Q17" s="102"/>
      <c r="R17" s="102"/>
      <c r="S17" s="102"/>
      <c r="T17" s="102"/>
      <c r="U17" s="102"/>
      <c r="V17" s="102"/>
      <c r="W17" s="102"/>
      <c r="X17" s="102"/>
    </row>
    <row r="18" ht="14.25" customHeight="1">
      <c r="A18" s="82">
        <v>1.0</v>
      </c>
      <c r="B18" s="75" t="s">
        <v>1924</v>
      </c>
      <c r="C18" s="108" t="s">
        <v>1925</v>
      </c>
      <c r="D18" s="109" t="s">
        <v>1926</v>
      </c>
      <c r="E18" s="109" t="s">
        <v>1927</v>
      </c>
      <c r="F18" s="109"/>
      <c r="G18" s="109" t="s">
        <v>1928</v>
      </c>
      <c r="H18" s="109" t="s">
        <v>1929</v>
      </c>
      <c r="I18" s="109"/>
      <c r="J18" s="110">
        <v>335.0</v>
      </c>
      <c r="K18" s="111" t="s">
        <v>1930</v>
      </c>
      <c r="L18" s="101"/>
      <c r="M18" s="102"/>
      <c r="N18" s="102"/>
      <c r="O18" s="102"/>
      <c r="P18" s="102"/>
      <c r="Q18" s="102"/>
      <c r="R18" s="102"/>
      <c r="S18" s="102"/>
      <c r="T18" s="102"/>
      <c r="U18" s="102"/>
      <c r="V18" s="102"/>
      <c r="W18" s="102"/>
      <c r="X18" s="102"/>
    </row>
    <row r="19" ht="14.25" customHeight="1">
      <c r="A19" s="87">
        <f t="shared" ref="A19:A25" si="3">A18+1</f>
        <v>2</v>
      </c>
      <c r="B19" s="2" t="s">
        <v>1924</v>
      </c>
      <c r="C19" s="112" t="s">
        <v>1931</v>
      </c>
      <c r="D19" s="113" t="s">
        <v>1932</v>
      </c>
      <c r="E19" s="113" t="s">
        <v>1933</v>
      </c>
      <c r="F19" s="113"/>
      <c r="G19" s="113" t="s">
        <v>1934</v>
      </c>
      <c r="H19" s="113" t="s">
        <v>1935</v>
      </c>
      <c r="I19" s="113"/>
      <c r="J19" s="19">
        <f t="shared" ref="J19:J25" si="4">J18+1</f>
        <v>336</v>
      </c>
      <c r="K19" s="114"/>
      <c r="L19" s="101"/>
      <c r="M19" s="102"/>
      <c r="N19" s="102"/>
      <c r="O19" s="102"/>
      <c r="P19" s="102"/>
      <c r="Q19" s="102"/>
      <c r="R19" s="102"/>
      <c r="S19" s="102"/>
      <c r="T19" s="102"/>
      <c r="U19" s="102"/>
      <c r="V19" s="102"/>
      <c r="W19" s="102"/>
      <c r="X19" s="102"/>
    </row>
    <row r="20" ht="14.25" customHeight="1">
      <c r="A20" s="87">
        <f t="shared" si="3"/>
        <v>3</v>
      </c>
      <c r="B20" s="2" t="s">
        <v>1924</v>
      </c>
      <c r="C20" s="112" t="s">
        <v>1936</v>
      </c>
      <c r="D20" s="113" t="s">
        <v>1937</v>
      </c>
      <c r="E20" s="113" t="s">
        <v>1938</v>
      </c>
      <c r="F20" s="113"/>
      <c r="G20" s="113" t="s">
        <v>1939</v>
      </c>
      <c r="H20" s="113" t="s">
        <v>1940</v>
      </c>
      <c r="I20" s="113" t="s">
        <v>1939</v>
      </c>
      <c r="J20" s="19">
        <f t="shared" si="4"/>
        <v>337</v>
      </c>
      <c r="K20" s="114"/>
      <c r="L20" s="101"/>
      <c r="M20" s="102"/>
      <c r="N20" s="102"/>
      <c r="O20" s="102"/>
      <c r="P20" s="102"/>
      <c r="Q20" s="102"/>
      <c r="R20" s="102"/>
      <c r="S20" s="102"/>
      <c r="T20" s="102"/>
      <c r="U20" s="102"/>
      <c r="V20" s="102"/>
      <c r="W20" s="102"/>
      <c r="X20" s="102"/>
    </row>
    <row r="21" ht="14.25" customHeight="1">
      <c r="A21" s="87">
        <f t="shared" si="3"/>
        <v>4</v>
      </c>
      <c r="B21" s="2" t="s">
        <v>1924</v>
      </c>
      <c r="C21" s="112" t="s">
        <v>1941</v>
      </c>
      <c r="D21" s="113" t="s">
        <v>1942</v>
      </c>
      <c r="E21" s="113" t="s">
        <v>1943</v>
      </c>
      <c r="F21" s="113"/>
      <c r="G21" s="113" t="s">
        <v>1944</v>
      </c>
      <c r="H21" s="113" t="s">
        <v>1945</v>
      </c>
      <c r="I21" s="113" t="s">
        <v>1946</v>
      </c>
      <c r="J21" s="19">
        <f t="shared" si="4"/>
        <v>338</v>
      </c>
      <c r="K21" s="114"/>
      <c r="L21" s="101"/>
      <c r="M21" s="102"/>
      <c r="N21" s="102"/>
      <c r="O21" s="102"/>
      <c r="P21" s="102"/>
      <c r="Q21" s="102"/>
      <c r="R21" s="102"/>
      <c r="S21" s="102"/>
      <c r="T21" s="102"/>
      <c r="U21" s="102"/>
      <c r="V21" s="102"/>
      <c r="W21" s="102"/>
      <c r="X21" s="102"/>
    </row>
    <row r="22" ht="14.25" customHeight="1">
      <c r="A22" s="87">
        <f t="shared" si="3"/>
        <v>5</v>
      </c>
      <c r="B22" s="2" t="s">
        <v>1924</v>
      </c>
      <c r="C22" s="112" t="s">
        <v>1947</v>
      </c>
      <c r="D22" s="113" t="s">
        <v>1948</v>
      </c>
      <c r="E22" s="113" t="s">
        <v>1949</v>
      </c>
      <c r="F22" s="113"/>
      <c r="G22" s="113" t="s">
        <v>1950</v>
      </c>
      <c r="H22" s="113" t="s">
        <v>1951</v>
      </c>
      <c r="I22" s="113" t="s">
        <v>1948</v>
      </c>
      <c r="J22" s="19">
        <f t="shared" si="4"/>
        <v>339</v>
      </c>
      <c r="K22" s="114"/>
      <c r="L22" s="101"/>
      <c r="M22" s="102"/>
      <c r="N22" s="102"/>
      <c r="O22" s="102"/>
      <c r="P22" s="102"/>
      <c r="Q22" s="102"/>
      <c r="R22" s="102"/>
      <c r="S22" s="102"/>
      <c r="T22" s="102"/>
      <c r="U22" s="102"/>
      <c r="V22" s="102"/>
      <c r="W22" s="102"/>
      <c r="X22" s="102"/>
    </row>
    <row r="23" ht="14.25" customHeight="1">
      <c r="A23" s="87">
        <f t="shared" si="3"/>
        <v>6</v>
      </c>
      <c r="B23" s="2" t="s">
        <v>1924</v>
      </c>
      <c r="C23" s="112" t="s">
        <v>1952</v>
      </c>
      <c r="D23" s="113" t="s">
        <v>1953</v>
      </c>
      <c r="E23" s="113" t="s">
        <v>1954</v>
      </c>
      <c r="F23" s="113"/>
      <c r="G23" s="113" t="s">
        <v>1955</v>
      </c>
      <c r="H23" s="113" t="s">
        <v>1956</v>
      </c>
      <c r="I23" s="113" t="s">
        <v>1957</v>
      </c>
      <c r="J23" s="19">
        <f t="shared" si="4"/>
        <v>340</v>
      </c>
      <c r="K23" s="114"/>
      <c r="L23" s="101"/>
      <c r="M23" s="102"/>
      <c r="N23" s="102"/>
      <c r="O23" s="102"/>
      <c r="P23" s="102"/>
      <c r="Q23" s="102"/>
      <c r="R23" s="102"/>
      <c r="S23" s="102"/>
      <c r="T23" s="102"/>
      <c r="U23" s="102"/>
      <c r="V23" s="102"/>
      <c r="W23" s="102"/>
      <c r="X23" s="102"/>
    </row>
    <row r="24" ht="14.25" customHeight="1">
      <c r="A24" s="87">
        <f t="shared" si="3"/>
        <v>7</v>
      </c>
      <c r="B24" s="2" t="s">
        <v>1924</v>
      </c>
      <c r="C24" s="112" t="s">
        <v>1958</v>
      </c>
      <c r="D24" s="113" t="s">
        <v>1959</v>
      </c>
      <c r="E24" s="113" t="s">
        <v>1960</v>
      </c>
      <c r="F24" s="113"/>
      <c r="G24" s="113" t="s">
        <v>1961</v>
      </c>
      <c r="H24" s="113" t="s">
        <v>1962</v>
      </c>
      <c r="I24" s="113" t="s">
        <v>1963</v>
      </c>
      <c r="J24" s="19">
        <f t="shared" si="4"/>
        <v>341</v>
      </c>
      <c r="K24" s="114"/>
      <c r="L24" s="101"/>
      <c r="M24" s="102"/>
      <c r="N24" s="102"/>
      <c r="O24" s="102"/>
      <c r="P24" s="102"/>
      <c r="Q24" s="102"/>
      <c r="R24" s="102"/>
      <c r="S24" s="102"/>
      <c r="T24" s="102"/>
      <c r="U24" s="102"/>
      <c r="V24" s="102"/>
      <c r="W24" s="102"/>
      <c r="X24" s="102"/>
    </row>
    <row r="25" ht="14.25" customHeight="1">
      <c r="A25" s="115">
        <f t="shared" si="3"/>
        <v>8</v>
      </c>
      <c r="B25" s="116" t="s">
        <v>1924</v>
      </c>
      <c r="C25" s="116" t="s">
        <v>1964</v>
      </c>
      <c r="D25" s="116" t="s">
        <v>1965</v>
      </c>
      <c r="E25" s="116" t="s">
        <v>1966</v>
      </c>
      <c r="F25" s="116"/>
      <c r="G25" s="116" t="s">
        <v>1967</v>
      </c>
      <c r="H25" s="116" t="s">
        <v>1968</v>
      </c>
      <c r="I25" s="116" t="s">
        <v>1969</v>
      </c>
      <c r="J25" s="116">
        <f t="shared" si="4"/>
        <v>342</v>
      </c>
      <c r="K25" s="117" t="s">
        <v>1970</v>
      </c>
      <c r="L25" s="118"/>
      <c r="M25" s="119"/>
      <c r="N25" s="119"/>
      <c r="O25" s="119"/>
      <c r="P25" s="119"/>
      <c r="Q25" s="119"/>
      <c r="R25" s="119"/>
      <c r="S25" s="119"/>
      <c r="T25" s="119"/>
      <c r="U25" s="119"/>
      <c r="V25" s="119"/>
      <c r="W25" s="119"/>
      <c r="X25" s="119"/>
    </row>
    <row r="26" ht="14.25" customHeight="1">
      <c r="A26" s="120">
        <v>1.0</v>
      </c>
      <c r="B26" s="36" t="s">
        <v>1971</v>
      </c>
      <c r="C26" s="121" t="s">
        <v>1972</v>
      </c>
      <c r="D26" s="121" t="s">
        <v>1973</v>
      </c>
      <c r="E26" s="121" t="s">
        <v>1974</v>
      </c>
      <c r="F26" s="121" t="s">
        <v>1975</v>
      </c>
      <c r="G26" s="121" t="s">
        <v>1976</v>
      </c>
      <c r="H26" s="121" t="s">
        <v>1977</v>
      </c>
      <c r="I26" s="121" t="s">
        <v>1978</v>
      </c>
      <c r="J26" s="36">
        <v>359.0</v>
      </c>
      <c r="K26" s="122"/>
      <c r="L26" s="101"/>
      <c r="M26" s="102"/>
      <c r="N26" s="102"/>
      <c r="O26" s="102"/>
      <c r="P26" s="102"/>
      <c r="Q26" s="102"/>
      <c r="R26" s="102"/>
      <c r="S26" s="102"/>
      <c r="T26" s="102"/>
      <c r="U26" s="102"/>
      <c r="V26" s="102"/>
      <c r="W26" s="102"/>
      <c r="X26" s="102"/>
    </row>
    <row r="27" ht="14.25" customHeight="1">
      <c r="A27" s="87">
        <f t="shared" ref="A27:A35" si="5">A26+1</f>
        <v>2</v>
      </c>
      <c r="B27" s="36" t="s">
        <v>1971</v>
      </c>
      <c r="C27" s="103" t="s">
        <v>1979</v>
      </c>
      <c r="D27" s="103" t="s">
        <v>1980</v>
      </c>
      <c r="E27" s="103" t="s">
        <v>1981</v>
      </c>
      <c r="F27" s="103" t="s">
        <v>1982</v>
      </c>
      <c r="G27" s="103" t="s">
        <v>1983</v>
      </c>
      <c r="H27" s="103" t="s">
        <v>1984</v>
      </c>
      <c r="I27" s="103" t="s">
        <v>1985</v>
      </c>
      <c r="J27" s="2">
        <f t="shared" ref="J27:J35" si="6">J26+1</f>
        <v>360</v>
      </c>
      <c r="K27" s="104"/>
      <c r="L27" s="101"/>
      <c r="M27" s="102"/>
      <c r="N27" s="102"/>
      <c r="O27" s="102"/>
      <c r="P27" s="102"/>
      <c r="Q27" s="102"/>
      <c r="R27" s="102"/>
      <c r="S27" s="102"/>
      <c r="T27" s="102"/>
      <c r="U27" s="102"/>
      <c r="V27" s="102"/>
      <c r="W27" s="102"/>
      <c r="X27" s="102"/>
    </row>
    <row r="28" ht="14.25" customHeight="1">
      <c r="A28" s="87">
        <f t="shared" si="5"/>
        <v>3</v>
      </c>
      <c r="B28" s="36" t="s">
        <v>1971</v>
      </c>
      <c r="C28" s="103" t="s">
        <v>1986</v>
      </c>
      <c r="D28" s="103" t="s">
        <v>1987</v>
      </c>
      <c r="E28" s="103" t="s">
        <v>1988</v>
      </c>
      <c r="F28" s="103" t="s">
        <v>1989</v>
      </c>
      <c r="G28" s="103" t="s">
        <v>1990</v>
      </c>
      <c r="H28" s="103" t="s">
        <v>1991</v>
      </c>
      <c r="I28" s="103" t="s">
        <v>1992</v>
      </c>
      <c r="J28" s="2">
        <f t="shared" si="6"/>
        <v>361</v>
      </c>
      <c r="K28" s="104"/>
      <c r="L28" s="101"/>
      <c r="M28" s="102"/>
      <c r="N28" s="102"/>
      <c r="O28" s="102"/>
      <c r="P28" s="102"/>
      <c r="Q28" s="102"/>
      <c r="R28" s="102"/>
      <c r="S28" s="102"/>
      <c r="T28" s="102"/>
      <c r="U28" s="102"/>
      <c r="V28" s="102"/>
      <c r="W28" s="102"/>
      <c r="X28" s="102"/>
    </row>
    <row r="29" ht="14.25" customHeight="1">
      <c r="A29" s="87">
        <f t="shared" si="5"/>
        <v>4</v>
      </c>
      <c r="B29" s="36" t="s">
        <v>1971</v>
      </c>
      <c r="C29" s="103" t="s">
        <v>1993</v>
      </c>
      <c r="D29" s="103" t="s">
        <v>1994</v>
      </c>
      <c r="E29" s="103" t="s">
        <v>1995</v>
      </c>
      <c r="F29" s="103" t="s">
        <v>1996</v>
      </c>
      <c r="G29" s="103" t="s">
        <v>1997</v>
      </c>
      <c r="H29" s="103" t="s">
        <v>1998</v>
      </c>
      <c r="I29" s="103" t="s">
        <v>1999</v>
      </c>
      <c r="J29" s="2">
        <f t="shared" si="6"/>
        <v>362</v>
      </c>
      <c r="K29" s="104"/>
      <c r="L29" s="101"/>
      <c r="M29" s="102"/>
      <c r="N29" s="102"/>
      <c r="O29" s="102"/>
      <c r="P29" s="102"/>
      <c r="Q29" s="102"/>
      <c r="R29" s="102"/>
      <c r="S29" s="102"/>
      <c r="T29" s="102"/>
      <c r="U29" s="102"/>
      <c r="V29" s="102"/>
      <c r="W29" s="102"/>
      <c r="X29" s="102"/>
    </row>
    <row r="30" ht="14.25" customHeight="1">
      <c r="A30" s="87">
        <f t="shared" si="5"/>
        <v>5</v>
      </c>
      <c r="B30" s="36" t="s">
        <v>1971</v>
      </c>
      <c r="C30" s="103" t="s">
        <v>2000</v>
      </c>
      <c r="D30" s="103" t="s">
        <v>2001</v>
      </c>
      <c r="E30" s="103" t="s">
        <v>2002</v>
      </c>
      <c r="F30" s="103" t="s">
        <v>2003</v>
      </c>
      <c r="G30" s="103" t="s">
        <v>2004</v>
      </c>
      <c r="H30" s="103" t="s">
        <v>2005</v>
      </c>
      <c r="I30" s="103" t="s">
        <v>2006</v>
      </c>
      <c r="J30" s="2">
        <f t="shared" si="6"/>
        <v>363</v>
      </c>
      <c r="K30" s="104"/>
      <c r="L30" s="101"/>
      <c r="M30" s="102"/>
      <c r="N30" s="102"/>
      <c r="O30" s="102"/>
      <c r="P30" s="102"/>
      <c r="Q30" s="102"/>
      <c r="R30" s="102"/>
      <c r="S30" s="102"/>
      <c r="T30" s="102"/>
      <c r="U30" s="102"/>
      <c r="V30" s="102"/>
      <c r="W30" s="102"/>
      <c r="X30" s="102"/>
    </row>
    <row r="31" ht="14.25" customHeight="1">
      <c r="A31" s="87">
        <f t="shared" si="5"/>
        <v>6</v>
      </c>
      <c r="B31" s="36" t="s">
        <v>1971</v>
      </c>
      <c r="C31" s="103" t="s">
        <v>2007</v>
      </c>
      <c r="D31" s="103" t="s">
        <v>2008</v>
      </c>
      <c r="E31" s="103" t="s">
        <v>2009</v>
      </c>
      <c r="F31" s="103" t="s">
        <v>2010</v>
      </c>
      <c r="G31" s="103" t="s">
        <v>2011</v>
      </c>
      <c r="H31" s="103" t="s">
        <v>2012</v>
      </c>
      <c r="I31" s="103" t="s">
        <v>2013</v>
      </c>
      <c r="J31" s="2">
        <f t="shared" si="6"/>
        <v>364</v>
      </c>
      <c r="K31" s="104"/>
      <c r="L31" s="101"/>
      <c r="M31" s="102"/>
      <c r="N31" s="102"/>
      <c r="O31" s="102"/>
      <c r="P31" s="102"/>
      <c r="Q31" s="102"/>
      <c r="R31" s="102"/>
      <c r="S31" s="102"/>
      <c r="T31" s="102"/>
      <c r="U31" s="102"/>
      <c r="V31" s="102"/>
      <c r="W31" s="102"/>
      <c r="X31" s="102"/>
    </row>
    <row r="32" ht="14.25" customHeight="1">
      <c r="A32" s="87">
        <f t="shared" si="5"/>
        <v>7</v>
      </c>
      <c r="B32" s="36" t="s">
        <v>1971</v>
      </c>
      <c r="C32" s="103" t="s">
        <v>2014</v>
      </c>
      <c r="D32" s="103" t="s">
        <v>2015</v>
      </c>
      <c r="E32" s="103" t="s">
        <v>2016</v>
      </c>
      <c r="F32" s="103" t="s">
        <v>2017</v>
      </c>
      <c r="G32" s="103" t="s">
        <v>2018</v>
      </c>
      <c r="H32" s="103" t="s">
        <v>2019</v>
      </c>
      <c r="I32" s="103" t="s">
        <v>2020</v>
      </c>
      <c r="J32" s="2">
        <f t="shared" si="6"/>
        <v>365</v>
      </c>
      <c r="K32" s="104"/>
      <c r="L32" s="101"/>
      <c r="M32" s="102"/>
      <c r="N32" s="102"/>
      <c r="O32" s="102"/>
      <c r="P32" s="102"/>
      <c r="Q32" s="102"/>
      <c r="R32" s="102"/>
      <c r="S32" s="102"/>
      <c r="T32" s="102"/>
      <c r="U32" s="102"/>
      <c r="V32" s="102"/>
      <c r="W32" s="102"/>
      <c r="X32" s="102"/>
    </row>
    <row r="33" ht="14.25" customHeight="1">
      <c r="A33" s="87">
        <f t="shared" si="5"/>
        <v>8</v>
      </c>
      <c r="B33" s="36" t="s">
        <v>1971</v>
      </c>
      <c r="C33" s="103" t="s">
        <v>2021</v>
      </c>
      <c r="D33" s="103" t="s">
        <v>2022</v>
      </c>
      <c r="E33" s="103" t="s">
        <v>2023</v>
      </c>
      <c r="F33" s="103" t="s">
        <v>2024</v>
      </c>
      <c r="G33" s="103" t="s">
        <v>2025</v>
      </c>
      <c r="H33" s="103" t="s">
        <v>2026</v>
      </c>
      <c r="I33" s="103" t="s">
        <v>2027</v>
      </c>
      <c r="J33" s="2">
        <f t="shared" si="6"/>
        <v>366</v>
      </c>
      <c r="K33" s="104"/>
      <c r="L33" s="101"/>
      <c r="M33" s="102"/>
      <c r="N33" s="102"/>
      <c r="O33" s="102"/>
      <c r="P33" s="102"/>
      <c r="Q33" s="102"/>
      <c r="R33" s="102"/>
      <c r="S33" s="102"/>
      <c r="T33" s="102"/>
      <c r="U33" s="102"/>
      <c r="V33" s="102"/>
      <c r="W33" s="102"/>
      <c r="X33" s="102"/>
    </row>
    <row r="34" ht="14.25" customHeight="1">
      <c r="A34" s="87">
        <f t="shared" si="5"/>
        <v>9</v>
      </c>
      <c r="B34" s="36" t="s">
        <v>1971</v>
      </c>
      <c r="C34" s="103" t="s">
        <v>2028</v>
      </c>
      <c r="D34" s="103" t="s">
        <v>2029</v>
      </c>
      <c r="E34" s="103" t="s">
        <v>2030</v>
      </c>
      <c r="F34" s="103" t="s">
        <v>2031</v>
      </c>
      <c r="G34" s="103" t="s">
        <v>2032</v>
      </c>
      <c r="H34" s="103" t="s">
        <v>2033</v>
      </c>
      <c r="I34" s="103" t="s">
        <v>2034</v>
      </c>
      <c r="J34" s="2">
        <f t="shared" si="6"/>
        <v>367</v>
      </c>
      <c r="K34" s="104"/>
      <c r="L34" s="101"/>
      <c r="M34" s="102"/>
      <c r="N34" s="102"/>
      <c r="O34" s="102"/>
      <c r="P34" s="102"/>
      <c r="Q34" s="102"/>
      <c r="R34" s="102"/>
      <c r="S34" s="102"/>
      <c r="T34" s="102"/>
      <c r="U34" s="102"/>
      <c r="V34" s="102"/>
      <c r="W34" s="102"/>
      <c r="X34" s="102"/>
    </row>
    <row r="35" ht="14.25" customHeight="1">
      <c r="A35" s="87">
        <f t="shared" si="5"/>
        <v>10</v>
      </c>
      <c r="B35" s="36" t="s">
        <v>1971</v>
      </c>
      <c r="C35" s="103" t="s">
        <v>2035</v>
      </c>
      <c r="D35" s="103" t="s">
        <v>2036</v>
      </c>
      <c r="E35" s="103" t="s">
        <v>2037</v>
      </c>
      <c r="F35" s="103" t="s">
        <v>2038</v>
      </c>
      <c r="G35" s="103" t="s">
        <v>2039</v>
      </c>
      <c r="H35" s="103" t="s">
        <v>2040</v>
      </c>
      <c r="I35" s="103" t="s">
        <v>2041</v>
      </c>
      <c r="J35" s="2">
        <f t="shared" si="6"/>
        <v>368</v>
      </c>
      <c r="K35" s="104"/>
      <c r="L35" s="101"/>
      <c r="M35" s="102"/>
      <c r="N35" s="102"/>
      <c r="O35" s="102"/>
      <c r="P35" s="102"/>
      <c r="Q35" s="102"/>
      <c r="R35" s="102"/>
      <c r="S35" s="102"/>
      <c r="T35" s="102"/>
      <c r="U35" s="102"/>
      <c r="V35" s="102"/>
      <c r="W35" s="102"/>
      <c r="X35" s="102"/>
    </row>
    <row r="36" ht="14.25" customHeight="1">
      <c r="A36" s="87">
        <f>A38+1</f>
        <v>13</v>
      </c>
      <c r="B36" s="36" t="s">
        <v>1971</v>
      </c>
      <c r="C36" s="103" t="s">
        <v>2042</v>
      </c>
      <c r="D36" s="103" t="s">
        <v>2043</v>
      </c>
      <c r="E36" s="103" t="s">
        <v>2044</v>
      </c>
      <c r="F36" s="103" t="s">
        <v>2045</v>
      </c>
      <c r="G36" s="103" t="s">
        <v>2046</v>
      </c>
      <c r="H36" s="103" t="s">
        <v>2047</v>
      </c>
      <c r="I36" s="103" t="s">
        <v>2048</v>
      </c>
      <c r="J36" s="2">
        <f>J38+1</f>
        <v>371</v>
      </c>
      <c r="K36" s="104"/>
      <c r="L36" s="101"/>
      <c r="M36" s="102"/>
      <c r="N36" s="102"/>
      <c r="O36" s="102"/>
      <c r="P36" s="102"/>
      <c r="Q36" s="102"/>
      <c r="R36" s="102"/>
      <c r="S36" s="102"/>
      <c r="T36" s="102"/>
      <c r="U36" s="102"/>
      <c r="V36" s="102"/>
      <c r="W36" s="102"/>
      <c r="X36" s="102"/>
    </row>
    <row r="37" ht="14.25" customHeight="1">
      <c r="A37" s="87">
        <f>A35+1</f>
        <v>11</v>
      </c>
      <c r="B37" s="36" t="s">
        <v>1971</v>
      </c>
      <c r="C37" s="103" t="s">
        <v>2049</v>
      </c>
      <c r="D37" s="103" t="s">
        <v>2050</v>
      </c>
      <c r="E37" s="103" t="s">
        <v>2051</v>
      </c>
      <c r="F37" s="105" t="s">
        <v>2052</v>
      </c>
      <c r="G37" s="103" t="s">
        <v>2053</v>
      </c>
      <c r="H37" s="103" t="s">
        <v>2054</v>
      </c>
      <c r="I37" s="103" t="s">
        <v>2055</v>
      </c>
      <c r="J37" s="2">
        <f>J35+1</f>
        <v>369</v>
      </c>
      <c r="K37" s="104"/>
      <c r="L37" s="101"/>
      <c r="M37" s="102"/>
      <c r="N37" s="102"/>
      <c r="O37" s="102"/>
      <c r="P37" s="102"/>
      <c r="Q37" s="102"/>
      <c r="R37" s="102"/>
      <c r="S37" s="102"/>
      <c r="T37" s="102"/>
      <c r="U37" s="102"/>
      <c r="V37" s="102"/>
      <c r="W37" s="102"/>
      <c r="X37" s="102"/>
    </row>
    <row r="38" ht="14.25" customHeight="1">
      <c r="A38" s="87">
        <f>A37+1</f>
        <v>12</v>
      </c>
      <c r="B38" s="36" t="s">
        <v>1971</v>
      </c>
      <c r="C38" s="103" t="s">
        <v>2056</v>
      </c>
      <c r="D38" s="103" t="s">
        <v>2057</v>
      </c>
      <c r="E38" s="103" t="s">
        <v>2058</v>
      </c>
      <c r="F38" s="103" t="s">
        <v>2059</v>
      </c>
      <c r="G38" s="103" t="s">
        <v>2060</v>
      </c>
      <c r="H38" s="103" t="s">
        <v>2061</v>
      </c>
      <c r="I38" s="103" t="s">
        <v>2062</v>
      </c>
      <c r="J38" s="2">
        <f>J37+1</f>
        <v>370</v>
      </c>
      <c r="K38" s="104"/>
      <c r="L38" s="101"/>
      <c r="M38" s="102"/>
      <c r="N38" s="102"/>
      <c r="O38" s="102"/>
      <c r="P38" s="102"/>
      <c r="Q38" s="102"/>
      <c r="R38" s="102"/>
      <c r="S38" s="102"/>
      <c r="T38" s="102"/>
      <c r="U38" s="102"/>
      <c r="V38" s="102"/>
      <c r="W38" s="102"/>
      <c r="X38" s="102"/>
    </row>
    <row r="39" ht="14.25" customHeight="1">
      <c r="A39" s="87">
        <f>A36+1</f>
        <v>14</v>
      </c>
      <c r="B39" s="36" t="s">
        <v>1971</v>
      </c>
      <c r="C39" s="103" t="s">
        <v>2063</v>
      </c>
      <c r="D39" s="103" t="s">
        <v>2064</v>
      </c>
      <c r="E39" s="103" t="s">
        <v>2065</v>
      </c>
      <c r="F39" s="103" t="s">
        <v>2066</v>
      </c>
      <c r="G39" s="103" t="s">
        <v>2067</v>
      </c>
      <c r="H39" s="103" t="s">
        <v>2068</v>
      </c>
      <c r="I39" s="103" t="s">
        <v>2069</v>
      </c>
      <c r="J39" s="2">
        <f>J36+1</f>
        <v>372</v>
      </c>
      <c r="K39" s="104"/>
      <c r="L39" s="101"/>
      <c r="M39" s="102"/>
      <c r="N39" s="102"/>
      <c r="O39" s="102"/>
      <c r="P39" s="102"/>
      <c r="Q39" s="102"/>
      <c r="R39" s="102"/>
      <c r="S39" s="102"/>
      <c r="T39" s="102"/>
      <c r="U39" s="102"/>
      <c r="V39" s="102"/>
      <c r="W39" s="102"/>
      <c r="X39" s="102"/>
    </row>
    <row r="40" ht="14.25" customHeight="1">
      <c r="A40" s="87">
        <f t="shared" ref="A40:A42" si="7">A39+1</f>
        <v>15</v>
      </c>
      <c r="B40" s="36" t="s">
        <v>1971</v>
      </c>
      <c r="C40" s="103" t="s">
        <v>2070</v>
      </c>
      <c r="D40" s="103" t="s">
        <v>2071</v>
      </c>
      <c r="E40" s="103" t="s">
        <v>2072</v>
      </c>
      <c r="F40" s="103" t="s">
        <v>2073</v>
      </c>
      <c r="G40" s="103" t="s">
        <v>2074</v>
      </c>
      <c r="H40" s="103" t="s">
        <v>2075</v>
      </c>
      <c r="I40" s="103" t="s">
        <v>2076</v>
      </c>
      <c r="J40" s="2">
        <f t="shared" ref="J40:J42" si="8">J39+1</f>
        <v>373</v>
      </c>
      <c r="K40" s="104"/>
      <c r="L40" s="101"/>
      <c r="M40" s="102"/>
      <c r="N40" s="102"/>
      <c r="O40" s="102"/>
      <c r="P40" s="102"/>
      <c r="Q40" s="102"/>
      <c r="R40" s="102"/>
      <c r="S40" s="102"/>
      <c r="T40" s="102"/>
      <c r="U40" s="102"/>
      <c r="V40" s="102"/>
      <c r="W40" s="102"/>
      <c r="X40" s="102"/>
    </row>
    <row r="41" ht="14.25" customHeight="1">
      <c r="A41" s="87">
        <f t="shared" si="7"/>
        <v>16</v>
      </c>
      <c r="B41" s="36" t="s">
        <v>1971</v>
      </c>
      <c r="C41" s="103" t="s">
        <v>2077</v>
      </c>
      <c r="D41" s="103" t="s">
        <v>2078</v>
      </c>
      <c r="E41" s="103" t="s">
        <v>2079</v>
      </c>
      <c r="F41" s="103" t="s">
        <v>2080</v>
      </c>
      <c r="G41" s="103" t="s">
        <v>2081</v>
      </c>
      <c r="H41" s="103" t="s">
        <v>2082</v>
      </c>
      <c r="I41" s="103" t="s">
        <v>2083</v>
      </c>
      <c r="J41" s="2">
        <f t="shared" si="8"/>
        <v>374</v>
      </c>
      <c r="K41" s="104"/>
      <c r="L41" s="101"/>
      <c r="M41" s="102"/>
      <c r="N41" s="102"/>
      <c r="O41" s="102"/>
      <c r="P41" s="102"/>
      <c r="Q41" s="102"/>
      <c r="R41" s="102"/>
      <c r="S41" s="102"/>
      <c r="T41" s="102"/>
      <c r="U41" s="102"/>
      <c r="V41" s="102"/>
      <c r="W41" s="102"/>
      <c r="X41" s="102"/>
    </row>
    <row r="42" ht="14.25" customHeight="1">
      <c r="A42" s="79">
        <f t="shared" si="7"/>
        <v>17</v>
      </c>
      <c r="B42" s="80" t="s">
        <v>1971</v>
      </c>
      <c r="C42" s="106" t="s">
        <v>2084</v>
      </c>
      <c r="D42" s="106" t="s">
        <v>2085</v>
      </c>
      <c r="E42" s="106" t="s">
        <v>2086</v>
      </c>
      <c r="F42" s="106" t="s">
        <v>2087</v>
      </c>
      <c r="G42" s="106" t="s">
        <v>2088</v>
      </c>
      <c r="H42" s="106" t="s">
        <v>2089</v>
      </c>
      <c r="I42" s="106" t="s">
        <v>2090</v>
      </c>
      <c r="J42" s="80">
        <f t="shared" si="8"/>
        <v>375</v>
      </c>
      <c r="K42" s="107"/>
      <c r="L42" s="101"/>
      <c r="M42" s="102"/>
      <c r="N42" s="102"/>
      <c r="O42" s="102"/>
      <c r="P42" s="102"/>
      <c r="Q42" s="102"/>
      <c r="R42" s="102"/>
      <c r="S42" s="102"/>
      <c r="T42" s="102"/>
      <c r="U42" s="102"/>
      <c r="V42" s="102"/>
      <c r="W42" s="102"/>
      <c r="X42" s="102"/>
    </row>
    <row r="43" ht="14.25" customHeight="1">
      <c r="A43" s="82">
        <v>1.0</v>
      </c>
      <c r="B43" s="75" t="s">
        <v>2091</v>
      </c>
      <c r="C43" s="99" t="s">
        <v>322</v>
      </c>
      <c r="D43" s="99" t="s">
        <v>324</v>
      </c>
      <c r="E43" s="123" t="s">
        <v>326</v>
      </c>
      <c r="F43" s="99" t="s">
        <v>323</v>
      </c>
      <c r="G43" s="99" t="s">
        <v>325</v>
      </c>
      <c r="H43" s="99" t="s">
        <v>327</v>
      </c>
      <c r="I43" s="99" t="s">
        <v>325</v>
      </c>
      <c r="J43" s="124">
        <v>804.0</v>
      </c>
      <c r="K43" s="100" t="s">
        <v>329</v>
      </c>
      <c r="L43" s="98"/>
      <c r="M43" s="98"/>
      <c r="N43" s="98"/>
      <c r="O43" s="98"/>
      <c r="P43" s="98"/>
      <c r="Q43" s="98"/>
      <c r="R43" s="98"/>
      <c r="S43" s="98"/>
      <c r="T43" s="98"/>
      <c r="U43" s="98"/>
      <c r="V43" s="98"/>
      <c r="W43" s="98"/>
      <c r="X43" s="98"/>
    </row>
    <row r="44" ht="14.25" customHeight="1">
      <c r="A44" s="87">
        <f t="shared" ref="A44:A52" si="9">A43+1</f>
        <v>2</v>
      </c>
      <c r="B44" s="11" t="s">
        <v>2091</v>
      </c>
      <c r="C44" s="103" t="s">
        <v>330</v>
      </c>
      <c r="D44" s="103" t="s">
        <v>332</v>
      </c>
      <c r="E44" s="125" t="s">
        <v>334</v>
      </c>
      <c r="F44" s="103" t="s">
        <v>331</v>
      </c>
      <c r="G44" s="103" t="s">
        <v>333</v>
      </c>
      <c r="H44" s="103" t="s">
        <v>335</v>
      </c>
      <c r="I44" s="103" t="s">
        <v>333</v>
      </c>
      <c r="J44" s="17">
        <f t="shared" ref="J44:J52" si="10">J43+1</f>
        <v>805</v>
      </c>
      <c r="K44" s="104" t="s">
        <v>337</v>
      </c>
    </row>
    <row r="45" ht="14.25" customHeight="1">
      <c r="A45" s="87">
        <f t="shared" si="9"/>
        <v>3</v>
      </c>
      <c r="B45" s="11" t="s">
        <v>2091</v>
      </c>
      <c r="C45" s="103" t="s">
        <v>338</v>
      </c>
      <c r="D45" s="103" t="s">
        <v>340</v>
      </c>
      <c r="E45" s="125" t="s">
        <v>342</v>
      </c>
      <c r="F45" s="103" t="s">
        <v>339</v>
      </c>
      <c r="G45" s="103" t="s">
        <v>341</v>
      </c>
      <c r="H45" s="103" t="s">
        <v>343</v>
      </c>
      <c r="I45" s="103" t="s">
        <v>341</v>
      </c>
      <c r="J45" s="17">
        <f t="shared" si="10"/>
        <v>806</v>
      </c>
      <c r="K45" s="104"/>
    </row>
    <row r="46" ht="14.25" customHeight="1">
      <c r="A46" s="87">
        <f t="shared" si="9"/>
        <v>4</v>
      </c>
      <c r="B46" s="11" t="s">
        <v>2091</v>
      </c>
      <c r="C46" s="103" t="s">
        <v>345</v>
      </c>
      <c r="D46" s="103" t="s">
        <v>347</v>
      </c>
      <c r="E46" s="125" t="s">
        <v>349</v>
      </c>
      <c r="F46" s="103" t="s">
        <v>346</v>
      </c>
      <c r="G46" s="103" t="s">
        <v>348</v>
      </c>
      <c r="H46" s="103" t="s">
        <v>350</v>
      </c>
      <c r="I46" s="103" t="s">
        <v>347</v>
      </c>
      <c r="J46" s="17">
        <f t="shared" si="10"/>
        <v>807</v>
      </c>
      <c r="K46" s="104"/>
    </row>
    <row r="47" ht="14.25" customHeight="1">
      <c r="A47" s="87">
        <f t="shared" si="9"/>
        <v>5</v>
      </c>
      <c r="B47" s="11" t="s">
        <v>2091</v>
      </c>
      <c r="C47" s="103" t="s">
        <v>352</v>
      </c>
      <c r="D47" s="103" t="s">
        <v>354</v>
      </c>
      <c r="E47" s="125" t="s">
        <v>356</v>
      </c>
      <c r="F47" s="103" t="s">
        <v>353</v>
      </c>
      <c r="G47" s="103" t="s">
        <v>355</v>
      </c>
      <c r="H47" s="103" t="s">
        <v>357</v>
      </c>
      <c r="I47" s="103" t="s">
        <v>354</v>
      </c>
      <c r="J47" s="17">
        <f t="shared" si="10"/>
        <v>808</v>
      </c>
      <c r="K47" s="104"/>
    </row>
    <row r="48" ht="168.0" customHeight="1">
      <c r="A48" s="87">
        <f t="shared" si="9"/>
        <v>6</v>
      </c>
      <c r="B48" s="11" t="s">
        <v>2091</v>
      </c>
      <c r="C48" s="103" t="s">
        <v>359</v>
      </c>
      <c r="D48" s="103" t="s">
        <v>361</v>
      </c>
      <c r="E48" s="125" t="s">
        <v>363</v>
      </c>
      <c r="F48" s="103" t="s">
        <v>360</v>
      </c>
      <c r="G48" s="103" t="s">
        <v>362</v>
      </c>
      <c r="H48" s="103" t="s">
        <v>364</v>
      </c>
      <c r="I48" s="103" t="s">
        <v>362</v>
      </c>
      <c r="J48" s="17">
        <f t="shared" si="10"/>
        <v>809</v>
      </c>
      <c r="K48" s="104"/>
    </row>
    <row r="49" ht="14.25" customHeight="1">
      <c r="A49" s="87">
        <f t="shared" si="9"/>
        <v>7</v>
      </c>
      <c r="B49" s="11" t="s">
        <v>2091</v>
      </c>
      <c r="C49" s="103" t="s">
        <v>366</v>
      </c>
      <c r="D49" s="103" t="s">
        <v>368</v>
      </c>
      <c r="E49" s="125" t="s">
        <v>370</v>
      </c>
      <c r="F49" s="103" t="s">
        <v>367</v>
      </c>
      <c r="G49" s="103" t="s">
        <v>369</v>
      </c>
      <c r="H49" s="103" t="s">
        <v>371</v>
      </c>
      <c r="I49" s="103" t="s">
        <v>2092</v>
      </c>
      <c r="J49" s="17">
        <f t="shared" si="10"/>
        <v>810</v>
      </c>
      <c r="K49" s="104"/>
    </row>
    <row r="50" ht="186.0" customHeight="1">
      <c r="A50" s="87">
        <f t="shared" si="9"/>
        <v>8</v>
      </c>
      <c r="B50" s="11" t="s">
        <v>2091</v>
      </c>
      <c r="C50" s="103" t="s">
        <v>373</v>
      </c>
      <c r="D50" s="103" t="s">
        <v>375</v>
      </c>
      <c r="E50" s="125" t="s">
        <v>377</v>
      </c>
      <c r="F50" s="103" t="s">
        <v>374</v>
      </c>
      <c r="G50" s="103" t="s">
        <v>376</v>
      </c>
      <c r="H50" s="103" t="s">
        <v>378</v>
      </c>
      <c r="I50" s="103" t="s">
        <v>2093</v>
      </c>
      <c r="J50" s="17">
        <f t="shared" si="10"/>
        <v>811</v>
      </c>
      <c r="K50" s="104"/>
    </row>
    <row r="51" ht="14.25" customHeight="1">
      <c r="A51" s="87">
        <f t="shared" si="9"/>
        <v>9</v>
      </c>
      <c r="B51" s="11" t="s">
        <v>2091</v>
      </c>
      <c r="C51" s="103" t="s">
        <v>380</v>
      </c>
      <c r="D51" s="103" t="s">
        <v>382</v>
      </c>
      <c r="E51" s="125" t="s">
        <v>384</v>
      </c>
      <c r="F51" s="103" t="s">
        <v>381</v>
      </c>
      <c r="G51" s="103" t="s">
        <v>383</v>
      </c>
      <c r="H51" s="103" t="s">
        <v>385</v>
      </c>
      <c r="I51" s="103" t="s">
        <v>2094</v>
      </c>
      <c r="J51" s="17">
        <f t="shared" si="10"/>
        <v>812</v>
      </c>
      <c r="K51" s="104" t="s">
        <v>387</v>
      </c>
    </row>
    <row r="52" ht="14.25" customHeight="1">
      <c r="A52" s="79">
        <f t="shared" si="9"/>
        <v>10</v>
      </c>
      <c r="B52" s="126" t="s">
        <v>2091</v>
      </c>
      <c r="C52" s="106" t="s">
        <v>389</v>
      </c>
      <c r="D52" s="106" t="s">
        <v>391</v>
      </c>
      <c r="E52" s="127" t="s">
        <v>393</v>
      </c>
      <c r="F52" s="106" t="s">
        <v>390</v>
      </c>
      <c r="G52" s="106" t="s">
        <v>392</v>
      </c>
      <c r="H52" s="106" t="s">
        <v>394</v>
      </c>
      <c r="I52" s="106" t="s">
        <v>2095</v>
      </c>
      <c r="J52" s="128">
        <f t="shared" si="10"/>
        <v>813</v>
      </c>
      <c r="K52" s="107"/>
    </row>
    <row r="53" ht="14.25" customHeight="1">
      <c r="A53" s="82">
        <v>1.0</v>
      </c>
      <c r="B53" s="75" t="s">
        <v>2096</v>
      </c>
      <c r="C53" s="99" t="s">
        <v>398</v>
      </c>
      <c r="D53" s="99" t="s">
        <v>400</v>
      </c>
      <c r="E53" s="99" t="s">
        <v>402</v>
      </c>
      <c r="F53" s="99" t="s">
        <v>399</v>
      </c>
      <c r="G53" s="99" t="s">
        <v>401</v>
      </c>
      <c r="H53" s="99" t="s">
        <v>403</v>
      </c>
      <c r="I53" s="99"/>
      <c r="J53" s="75">
        <v>814.0</v>
      </c>
      <c r="K53" s="100" t="s">
        <v>405</v>
      </c>
    </row>
    <row r="54" ht="14.25" customHeight="1">
      <c r="A54" s="87">
        <f t="shared" ref="A54:A62" si="11">A53+1</f>
        <v>2</v>
      </c>
      <c r="B54" s="2" t="s">
        <v>2096</v>
      </c>
      <c r="C54" s="103" t="s">
        <v>406</v>
      </c>
      <c r="D54" s="103" t="s">
        <v>408</v>
      </c>
      <c r="E54" s="103" t="s">
        <v>410</v>
      </c>
      <c r="F54" s="103" t="s">
        <v>407</v>
      </c>
      <c r="G54" s="103" t="s">
        <v>409</v>
      </c>
      <c r="H54" s="103" t="s">
        <v>411</v>
      </c>
      <c r="I54" s="103"/>
      <c r="J54" s="2">
        <f t="shared" ref="J54:J62" si="12">J53+1</f>
        <v>815</v>
      </c>
      <c r="K54" s="104" t="s">
        <v>413</v>
      </c>
    </row>
    <row r="55" ht="14.25" customHeight="1">
      <c r="A55" s="87">
        <f t="shared" si="11"/>
        <v>3</v>
      </c>
      <c r="B55" s="2" t="s">
        <v>2096</v>
      </c>
      <c r="C55" s="103" t="s">
        <v>414</v>
      </c>
      <c r="D55" s="103" t="s">
        <v>416</v>
      </c>
      <c r="E55" s="103" t="s">
        <v>418</v>
      </c>
      <c r="F55" s="103" t="s">
        <v>415</v>
      </c>
      <c r="G55" s="103" t="s">
        <v>417</v>
      </c>
      <c r="H55" s="103" t="s">
        <v>419</v>
      </c>
      <c r="I55" s="103"/>
      <c r="J55" s="2">
        <f t="shared" si="12"/>
        <v>816</v>
      </c>
      <c r="K55" s="104"/>
    </row>
    <row r="56" ht="14.25" customHeight="1">
      <c r="A56" s="87">
        <f t="shared" si="11"/>
        <v>4</v>
      </c>
      <c r="B56" s="2" t="s">
        <v>2096</v>
      </c>
      <c r="C56" s="103" t="s">
        <v>421</v>
      </c>
      <c r="D56" s="103" t="s">
        <v>423</v>
      </c>
      <c r="E56" s="103" t="s">
        <v>425</v>
      </c>
      <c r="F56" s="103" t="s">
        <v>422</v>
      </c>
      <c r="G56" s="103" t="s">
        <v>424</v>
      </c>
      <c r="H56" s="103" t="s">
        <v>426</v>
      </c>
      <c r="I56" s="103"/>
      <c r="J56" s="2">
        <f t="shared" si="12"/>
        <v>817</v>
      </c>
      <c r="K56" s="104"/>
    </row>
    <row r="57" ht="14.25" customHeight="1">
      <c r="A57" s="87">
        <f t="shared" si="11"/>
        <v>5</v>
      </c>
      <c r="B57" s="2" t="s">
        <v>2096</v>
      </c>
      <c r="C57" s="103" t="s">
        <v>428</v>
      </c>
      <c r="D57" s="103" t="s">
        <v>430</v>
      </c>
      <c r="E57" s="103" t="s">
        <v>432</v>
      </c>
      <c r="F57" s="103" t="s">
        <v>429</v>
      </c>
      <c r="G57" s="103" t="s">
        <v>431</v>
      </c>
      <c r="H57" s="103" t="s">
        <v>433</v>
      </c>
      <c r="I57" s="103"/>
      <c r="J57" s="2">
        <f t="shared" si="12"/>
        <v>818</v>
      </c>
      <c r="K57" s="104"/>
    </row>
    <row r="58" ht="14.25" customHeight="1">
      <c r="A58" s="87">
        <f t="shared" si="11"/>
        <v>6</v>
      </c>
      <c r="B58" s="2" t="s">
        <v>2096</v>
      </c>
      <c r="C58" s="103" t="s">
        <v>435</v>
      </c>
      <c r="D58" s="103" t="s">
        <v>437</v>
      </c>
      <c r="E58" s="103" t="s">
        <v>439</v>
      </c>
      <c r="F58" s="103" t="s">
        <v>436</v>
      </c>
      <c r="G58" s="103" t="s">
        <v>438</v>
      </c>
      <c r="H58" s="103" t="s">
        <v>440</v>
      </c>
      <c r="I58" s="103"/>
      <c r="J58" s="2">
        <f t="shared" si="12"/>
        <v>819</v>
      </c>
      <c r="K58" s="104"/>
    </row>
    <row r="59" ht="14.25" customHeight="1">
      <c r="A59" s="87">
        <f t="shared" si="11"/>
        <v>7</v>
      </c>
      <c r="B59" s="2" t="s">
        <v>2096</v>
      </c>
      <c r="C59" s="103" t="s">
        <v>442</v>
      </c>
      <c r="D59" s="103" t="s">
        <v>444</v>
      </c>
      <c r="E59" s="103" t="s">
        <v>446</v>
      </c>
      <c r="F59" s="103" t="s">
        <v>443</v>
      </c>
      <c r="G59" s="103" t="s">
        <v>445</v>
      </c>
      <c r="H59" s="103" t="s">
        <v>447</v>
      </c>
      <c r="I59" s="103"/>
      <c r="J59" s="2">
        <f t="shared" si="12"/>
        <v>820</v>
      </c>
      <c r="K59" s="104"/>
    </row>
    <row r="60" ht="14.25" customHeight="1">
      <c r="A60" s="87">
        <f t="shared" si="11"/>
        <v>8</v>
      </c>
      <c r="B60" s="2" t="s">
        <v>2096</v>
      </c>
      <c r="C60" s="103" t="s">
        <v>449</v>
      </c>
      <c r="D60" s="103" t="s">
        <v>451</v>
      </c>
      <c r="E60" s="103" t="s">
        <v>453</v>
      </c>
      <c r="F60" s="103" t="s">
        <v>450</v>
      </c>
      <c r="G60" s="103" t="s">
        <v>452</v>
      </c>
      <c r="H60" s="103" t="s">
        <v>454</v>
      </c>
      <c r="I60" s="103"/>
      <c r="J60" s="2">
        <f t="shared" si="12"/>
        <v>821</v>
      </c>
      <c r="K60" s="104"/>
    </row>
    <row r="61" ht="14.25" customHeight="1">
      <c r="A61" s="87">
        <f t="shared" si="11"/>
        <v>9</v>
      </c>
      <c r="B61" s="2" t="s">
        <v>2096</v>
      </c>
      <c r="C61" s="103" t="s">
        <v>456</v>
      </c>
      <c r="D61" s="103" t="s">
        <v>458</v>
      </c>
      <c r="E61" s="103" t="s">
        <v>460</v>
      </c>
      <c r="F61" s="103" t="s">
        <v>457</v>
      </c>
      <c r="G61" s="103" t="s">
        <v>459</v>
      </c>
      <c r="H61" s="103" t="s">
        <v>461</v>
      </c>
      <c r="I61" s="103"/>
      <c r="J61" s="2">
        <f t="shared" si="12"/>
        <v>822</v>
      </c>
      <c r="K61" s="104"/>
    </row>
    <row r="62" ht="14.25" customHeight="1">
      <c r="A62" s="129">
        <f t="shared" si="11"/>
        <v>10</v>
      </c>
      <c r="B62" s="106" t="s">
        <v>2096</v>
      </c>
      <c r="C62" s="106" t="s">
        <v>464</v>
      </c>
      <c r="D62" s="106" t="s">
        <v>466</v>
      </c>
      <c r="E62" s="106" t="s">
        <v>468</v>
      </c>
      <c r="F62" s="106" t="s">
        <v>465</v>
      </c>
      <c r="G62" s="106" t="s">
        <v>467</v>
      </c>
      <c r="H62" s="106" t="s">
        <v>469</v>
      </c>
      <c r="I62" s="106"/>
      <c r="J62" s="106">
        <f t="shared" si="12"/>
        <v>823</v>
      </c>
      <c r="K62" s="107"/>
    </row>
    <row r="63" ht="14.25" customHeight="1">
      <c r="A63" s="74">
        <v>1.0</v>
      </c>
      <c r="B63" s="75" t="s">
        <v>2097</v>
      </c>
      <c r="C63" s="99" t="s">
        <v>473</v>
      </c>
      <c r="D63" s="99" t="s">
        <v>475</v>
      </c>
      <c r="E63" s="99" t="s">
        <v>477</v>
      </c>
      <c r="F63" s="99" t="s">
        <v>474</v>
      </c>
      <c r="G63" s="99" t="s">
        <v>476</v>
      </c>
      <c r="H63" s="99" t="s">
        <v>478</v>
      </c>
      <c r="I63" s="130"/>
      <c r="J63" s="88">
        <v>824.0</v>
      </c>
      <c r="K63" s="100" t="s">
        <v>480</v>
      </c>
    </row>
    <row r="64" ht="14.25" customHeight="1">
      <c r="A64" s="131">
        <f t="shared" ref="A64:A73" si="13">A63+1</f>
        <v>2</v>
      </c>
      <c r="B64" s="11" t="s">
        <v>2097</v>
      </c>
      <c r="C64" s="103" t="s">
        <v>481</v>
      </c>
      <c r="D64" s="103" t="s">
        <v>483</v>
      </c>
      <c r="E64" s="103" t="s">
        <v>485</v>
      </c>
      <c r="F64" s="103" t="s">
        <v>482</v>
      </c>
      <c r="G64" s="103" t="s">
        <v>484</v>
      </c>
      <c r="H64" s="103" t="s">
        <v>486</v>
      </c>
      <c r="I64" s="132"/>
      <c r="J64" s="133">
        <f t="shared" ref="J64:J73" si="14">J63+1</f>
        <v>825</v>
      </c>
      <c r="K64" s="104" t="s">
        <v>488</v>
      </c>
    </row>
    <row r="65" ht="14.25" customHeight="1">
      <c r="A65" s="131">
        <f t="shared" si="13"/>
        <v>3</v>
      </c>
      <c r="B65" s="11" t="s">
        <v>2097</v>
      </c>
      <c r="C65" s="103" t="s">
        <v>489</v>
      </c>
      <c r="D65" s="103" t="s">
        <v>491</v>
      </c>
      <c r="E65" s="103" t="s">
        <v>493</v>
      </c>
      <c r="F65" s="103" t="s">
        <v>490</v>
      </c>
      <c r="G65" s="103" t="s">
        <v>492</v>
      </c>
      <c r="H65" s="103" t="s">
        <v>494</v>
      </c>
      <c r="I65" s="132"/>
      <c r="J65" s="133">
        <f t="shared" si="14"/>
        <v>826</v>
      </c>
      <c r="K65" s="104" t="s">
        <v>496</v>
      </c>
    </row>
    <row r="66" ht="14.25" customHeight="1">
      <c r="A66" s="131">
        <f t="shared" si="13"/>
        <v>4</v>
      </c>
      <c r="B66" s="11" t="s">
        <v>2097</v>
      </c>
      <c r="C66" s="103" t="s">
        <v>497</v>
      </c>
      <c r="D66" s="103" t="s">
        <v>499</v>
      </c>
      <c r="E66" s="103" t="s">
        <v>501</v>
      </c>
      <c r="F66" s="103" t="s">
        <v>498</v>
      </c>
      <c r="G66" s="103" t="s">
        <v>500</v>
      </c>
      <c r="H66" s="103" t="s">
        <v>502</v>
      </c>
      <c r="I66" s="132"/>
      <c r="J66" s="133">
        <f t="shared" si="14"/>
        <v>827</v>
      </c>
      <c r="K66" s="104"/>
    </row>
    <row r="67" ht="14.25" customHeight="1">
      <c r="A67" s="131">
        <f t="shared" si="13"/>
        <v>5</v>
      </c>
      <c r="B67" s="11" t="s">
        <v>2097</v>
      </c>
      <c r="C67" s="103" t="s">
        <v>504</v>
      </c>
      <c r="D67" s="103" t="s">
        <v>506</v>
      </c>
      <c r="E67" s="103" t="s">
        <v>508</v>
      </c>
      <c r="F67" s="103" t="s">
        <v>505</v>
      </c>
      <c r="G67" s="103" t="s">
        <v>507</v>
      </c>
      <c r="H67" s="103" t="s">
        <v>509</v>
      </c>
      <c r="I67" s="132"/>
      <c r="J67" s="133">
        <f t="shared" si="14"/>
        <v>828</v>
      </c>
      <c r="K67" s="104"/>
    </row>
    <row r="68" ht="14.25" customHeight="1">
      <c r="A68" s="131">
        <f t="shared" si="13"/>
        <v>6</v>
      </c>
      <c r="B68" s="11" t="s">
        <v>2097</v>
      </c>
      <c r="C68" s="103" t="s">
        <v>511</v>
      </c>
      <c r="D68" s="103" t="s">
        <v>513</v>
      </c>
      <c r="E68" s="103" t="s">
        <v>515</v>
      </c>
      <c r="F68" s="103" t="s">
        <v>512</v>
      </c>
      <c r="G68" s="103" t="s">
        <v>514</v>
      </c>
      <c r="H68" s="103" t="s">
        <v>516</v>
      </c>
      <c r="I68" s="132"/>
      <c r="J68" s="133">
        <f t="shared" si="14"/>
        <v>829</v>
      </c>
      <c r="K68" s="104"/>
    </row>
    <row r="69" ht="14.25" customHeight="1">
      <c r="A69" s="131">
        <f t="shared" si="13"/>
        <v>7</v>
      </c>
      <c r="B69" s="11" t="s">
        <v>2097</v>
      </c>
      <c r="C69" s="103" t="s">
        <v>518</v>
      </c>
      <c r="D69" s="103" t="s">
        <v>520</v>
      </c>
      <c r="E69" s="103" t="s">
        <v>522</v>
      </c>
      <c r="F69" s="93" t="s">
        <v>519</v>
      </c>
      <c r="G69" s="103" t="s">
        <v>521</v>
      </c>
      <c r="H69" s="103" t="s">
        <v>523</v>
      </c>
      <c r="I69" s="132"/>
      <c r="J69" s="133">
        <f t="shared" si="14"/>
        <v>830</v>
      </c>
      <c r="K69" s="104"/>
    </row>
    <row r="70" ht="14.25" customHeight="1">
      <c r="A70" s="131">
        <f t="shared" si="13"/>
        <v>8</v>
      </c>
      <c r="B70" s="11" t="s">
        <v>2097</v>
      </c>
      <c r="C70" s="103" t="s">
        <v>525</v>
      </c>
      <c r="D70" s="103" t="s">
        <v>527</v>
      </c>
      <c r="E70" s="103" t="s">
        <v>529</v>
      </c>
      <c r="F70" s="103" t="s">
        <v>526</v>
      </c>
      <c r="G70" s="103" t="s">
        <v>528</v>
      </c>
      <c r="H70" s="103" t="s">
        <v>530</v>
      </c>
      <c r="I70" s="132"/>
      <c r="J70" s="133">
        <f t="shared" si="14"/>
        <v>831</v>
      </c>
      <c r="K70" s="104"/>
    </row>
    <row r="71" ht="14.25" customHeight="1">
      <c r="A71" s="131">
        <f t="shared" si="13"/>
        <v>9</v>
      </c>
      <c r="B71" s="11" t="s">
        <v>2097</v>
      </c>
      <c r="C71" s="103" t="s">
        <v>532</v>
      </c>
      <c r="D71" s="103" t="s">
        <v>534</v>
      </c>
      <c r="E71" s="103" t="s">
        <v>536</v>
      </c>
      <c r="F71" s="103" t="s">
        <v>533</v>
      </c>
      <c r="G71" s="103" t="s">
        <v>535</v>
      </c>
      <c r="H71" s="103" t="s">
        <v>537</v>
      </c>
      <c r="I71" s="132"/>
      <c r="J71" s="133">
        <f t="shared" si="14"/>
        <v>832</v>
      </c>
      <c r="K71" s="104"/>
    </row>
    <row r="72" ht="14.25" customHeight="1">
      <c r="A72" s="131">
        <f t="shared" si="13"/>
        <v>10</v>
      </c>
      <c r="B72" s="11" t="s">
        <v>2097</v>
      </c>
      <c r="C72" s="103" t="s">
        <v>540</v>
      </c>
      <c r="D72" s="103" t="s">
        <v>542</v>
      </c>
      <c r="E72" s="103" t="s">
        <v>544</v>
      </c>
      <c r="F72" s="103" t="s">
        <v>541</v>
      </c>
      <c r="G72" s="103" t="s">
        <v>543</v>
      </c>
      <c r="H72" s="103" t="s">
        <v>545</v>
      </c>
      <c r="I72" s="132"/>
      <c r="J72" s="133">
        <f t="shared" si="14"/>
        <v>833</v>
      </c>
      <c r="K72" s="104"/>
    </row>
    <row r="73" ht="14.25" customHeight="1">
      <c r="A73" s="134">
        <f t="shared" si="13"/>
        <v>11</v>
      </c>
      <c r="B73" s="126" t="s">
        <v>2097</v>
      </c>
      <c r="C73" s="106" t="s">
        <v>547</v>
      </c>
      <c r="D73" s="106" t="s">
        <v>549</v>
      </c>
      <c r="E73" s="106" t="s">
        <v>551</v>
      </c>
      <c r="F73" s="106" t="s">
        <v>548</v>
      </c>
      <c r="G73" s="106" t="s">
        <v>550</v>
      </c>
      <c r="H73" s="106" t="s">
        <v>552</v>
      </c>
      <c r="I73" s="135"/>
      <c r="J73" s="136">
        <f t="shared" si="14"/>
        <v>834</v>
      </c>
      <c r="K73" s="107" t="s">
        <v>554</v>
      </c>
    </row>
    <row r="74" ht="14.25" customHeight="1">
      <c r="A74" s="74">
        <v>1.0</v>
      </c>
      <c r="B74" s="75" t="s">
        <v>2098</v>
      </c>
      <c r="C74" s="99" t="s">
        <v>557</v>
      </c>
      <c r="D74" s="99" t="s">
        <v>559</v>
      </c>
      <c r="E74" s="99" t="s">
        <v>561</v>
      </c>
      <c r="F74" s="99" t="s">
        <v>558</v>
      </c>
      <c r="G74" s="99" t="s">
        <v>560</v>
      </c>
      <c r="H74" s="99" t="s">
        <v>562</v>
      </c>
      <c r="I74" s="130"/>
      <c r="J74" s="88">
        <v>835.0</v>
      </c>
      <c r="K74" s="100" t="s">
        <v>564</v>
      </c>
    </row>
    <row r="75" ht="14.25" customHeight="1">
      <c r="A75" s="131">
        <f t="shared" ref="A75:A86" si="15">A74+1</f>
        <v>2</v>
      </c>
      <c r="B75" s="2" t="s">
        <v>2098</v>
      </c>
      <c r="C75" s="103" t="s">
        <v>565</v>
      </c>
      <c r="D75" s="103" t="s">
        <v>567</v>
      </c>
      <c r="E75" s="103" t="s">
        <v>569</v>
      </c>
      <c r="F75" s="103" t="s">
        <v>566</v>
      </c>
      <c r="G75" s="103" t="s">
        <v>568</v>
      </c>
      <c r="H75" s="103" t="s">
        <v>570</v>
      </c>
      <c r="I75" s="132"/>
      <c r="J75" s="133">
        <f t="shared" ref="J75:J86" si="16">J74+1</f>
        <v>836</v>
      </c>
      <c r="K75" s="104" t="s">
        <v>572</v>
      </c>
    </row>
    <row r="76" ht="14.25" customHeight="1">
      <c r="A76" s="131">
        <f t="shared" si="15"/>
        <v>3</v>
      </c>
      <c r="B76" s="2" t="s">
        <v>2098</v>
      </c>
      <c r="C76" s="103" t="s">
        <v>573</v>
      </c>
      <c r="D76" s="103" t="s">
        <v>575</v>
      </c>
      <c r="E76" s="137" t="s">
        <v>577</v>
      </c>
      <c r="F76" s="103" t="s">
        <v>574</v>
      </c>
      <c r="G76" s="103" t="s">
        <v>576</v>
      </c>
      <c r="H76" s="103" t="s">
        <v>578</v>
      </c>
      <c r="I76" s="132"/>
      <c r="J76" s="133">
        <f t="shared" si="16"/>
        <v>837</v>
      </c>
      <c r="K76" s="138" t="s">
        <v>2099</v>
      </c>
    </row>
    <row r="77" ht="14.25" customHeight="1">
      <c r="A77" s="131">
        <f t="shared" si="15"/>
        <v>4</v>
      </c>
      <c r="B77" s="2" t="s">
        <v>2098</v>
      </c>
      <c r="C77" s="103" t="s">
        <v>581</v>
      </c>
      <c r="D77" s="103" t="s">
        <v>583</v>
      </c>
      <c r="E77" s="103" t="s">
        <v>585</v>
      </c>
      <c r="F77" s="103" t="s">
        <v>582</v>
      </c>
      <c r="G77" s="103" t="s">
        <v>584</v>
      </c>
      <c r="H77" s="103" t="s">
        <v>586</v>
      </c>
      <c r="I77" s="132"/>
      <c r="J77" s="133">
        <f t="shared" si="16"/>
        <v>838</v>
      </c>
      <c r="K77" s="104" t="s">
        <v>587</v>
      </c>
    </row>
    <row r="78" ht="14.25" customHeight="1">
      <c r="A78" s="131">
        <f t="shared" si="15"/>
        <v>5</v>
      </c>
      <c r="B78" s="2" t="s">
        <v>2098</v>
      </c>
      <c r="C78" s="103" t="s">
        <v>588</v>
      </c>
      <c r="D78" s="139" t="s">
        <v>590</v>
      </c>
      <c r="E78" s="103" t="s">
        <v>592</v>
      </c>
      <c r="F78" s="139" t="s">
        <v>589</v>
      </c>
      <c r="G78" s="103" t="s">
        <v>591</v>
      </c>
      <c r="H78" s="139" t="s">
        <v>593</v>
      </c>
      <c r="I78" s="132"/>
      <c r="J78" s="133">
        <f t="shared" si="16"/>
        <v>839</v>
      </c>
      <c r="K78" s="104" t="s">
        <v>595</v>
      </c>
    </row>
    <row r="79" ht="14.25" customHeight="1">
      <c r="A79" s="131">
        <f t="shared" si="15"/>
        <v>6</v>
      </c>
      <c r="B79" s="2" t="s">
        <v>2098</v>
      </c>
      <c r="C79" s="103" t="s">
        <v>596</v>
      </c>
      <c r="D79" s="103" t="s">
        <v>598</v>
      </c>
      <c r="E79" s="103" t="s">
        <v>600</v>
      </c>
      <c r="F79" s="103" t="s">
        <v>597</v>
      </c>
      <c r="G79" s="103" t="s">
        <v>599</v>
      </c>
      <c r="H79" s="103" t="s">
        <v>601</v>
      </c>
      <c r="I79" s="132"/>
      <c r="J79" s="133">
        <f t="shared" si="16"/>
        <v>840</v>
      </c>
      <c r="K79" s="104"/>
    </row>
    <row r="80" ht="14.25" customHeight="1">
      <c r="A80" s="131">
        <f t="shared" si="15"/>
        <v>7</v>
      </c>
      <c r="B80" s="2" t="s">
        <v>2098</v>
      </c>
      <c r="C80" s="103" t="s">
        <v>603</v>
      </c>
      <c r="D80" s="103" t="s">
        <v>605</v>
      </c>
      <c r="E80" s="103" t="s">
        <v>607</v>
      </c>
      <c r="F80" s="103" t="s">
        <v>604</v>
      </c>
      <c r="G80" s="103" t="s">
        <v>606</v>
      </c>
      <c r="H80" s="103" t="s">
        <v>608</v>
      </c>
      <c r="I80" s="132"/>
      <c r="J80" s="133">
        <f t="shared" si="16"/>
        <v>841</v>
      </c>
      <c r="K80" s="104"/>
    </row>
    <row r="81" ht="14.25" customHeight="1">
      <c r="A81" s="131">
        <f t="shared" si="15"/>
        <v>8</v>
      </c>
      <c r="B81" s="2" t="s">
        <v>2098</v>
      </c>
      <c r="C81" s="103" t="s">
        <v>610</v>
      </c>
      <c r="D81" s="103" t="s">
        <v>612</v>
      </c>
      <c r="E81" s="103" t="s">
        <v>614</v>
      </c>
      <c r="F81" s="103" t="s">
        <v>611</v>
      </c>
      <c r="G81" s="103" t="s">
        <v>613</v>
      </c>
      <c r="H81" s="103" t="s">
        <v>615</v>
      </c>
      <c r="I81" s="132"/>
      <c r="J81" s="133">
        <f t="shared" si="16"/>
        <v>842</v>
      </c>
      <c r="K81" s="104"/>
    </row>
    <row r="82" ht="14.25" customHeight="1">
      <c r="A82" s="131">
        <f t="shared" si="15"/>
        <v>9</v>
      </c>
      <c r="B82" s="2" t="s">
        <v>2098</v>
      </c>
      <c r="C82" s="103" t="s">
        <v>617</v>
      </c>
      <c r="D82" s="103" t="s">
        <v>619</v>
      </c>
      <c r="E82" s="103" t="s">
        <v>621</v>
      </c>
      <c r="F82" s="103" t="s">
        <v>618</v>
      </c>
      <c r="G82" s="103" t="s">
        <v>620</v>
      </c>
      <c r="H82" s="103" t="s">
        <v>622</v>
      </c>
      <c r="I82" s="132"/>
      <c r="J82" s="133">
        <f t="shared" si="16"/>
        <v>843</v>
      </c>
      <c r="K82" s="104"/>
    </row>
    <row r="83" ht="14.25" customHeight="1">
      <c r="A83" s="131">
        <f t="shared" si="15"/>
        <v>10</v>
      </c>
      <c r="B83" s="2" t="s">
        <v>2098</v>
      </c>
      <c r="C83" s="103" t="s">
        <v>625</v>
      </c>
      <c r="D83" s="103" t="s">
        <v>627</v>
      </c>
      <c r="E83" s="103" t="s">
        <v>629</v>
      </c>
      <c r="F83" s="103" t="s">
        <v>626</v>
      </c>
      <c r="G83" s="103" t="s">
        <v>628</v>
      </c>
      <c r="H83" s="103" t="s">
        <v>630</v>
      </c>
      <c r="I83" s="132"/>
      <c r="J83" s="133">
        <f t="shared" si="16"/>
        <v>844</v>
      </c>
      <c r="K83" s="104" t="s">
        <v>632</v>
      </c>
    </row>
    <row r="84" ht="14.25" customHeight="1">
      <c r="A84" s="131">
        <f t="shared" si="15"/>
        <v>11</v>
      </c>
      <c r="B84" s="2" t="s">
        <v>2098</v>
      </c>
      <c r="C84" s="103" t="s">
        <v>633</v>
      </c>
      <c r="D84" s="103" t="s">
        <v>635</v>
      </c>
      <c r="E84" s="103" t="s">
        <v>637</v>
      </c>
      <c r="F84" s="103" t="s">
        <v>634</v>
      </c>
      <c r="G84" s="103" t="s">
        <v>636</v>
      </c>
      <c r="H84" s="103" t="s">
        <v>638</v>
      </c>
      <c r="I84" s="132"/>
      <c r="J84" s="133">
        <f t="shared" si="16"/>
        <v>845</v>
      </c>
      <c r="K84" s="104"/>
    </row>
    <row r="85" ht="14.25" customHeight="1">
      <c r="A85" s="131">
        <f t="shared" si="15"/>
        <v>12</v>
      </c>
      <c r="B85" s="2" t="s">
        <v>2098</v>
      </c>
      <c r="C85" s="103" t="s">
        <v>640</v>
      </c>
      <c r="D85" s="103" t="s">
        <v>642</v>
      </c>
      <c r="E85" s="103" t="s">
        <v>644</v>
      </c>
      <c r="F85" s="103" t="s">
        <v>641</v>
      </c>
      <c r="G85" s="103" t="s">
        <v>643</v>
      </c>
      <c r="H85" s="103" t="s">
        <v>645</v>
      </c>
      <c r="I85" s="132"/>
      <c r="J85" s="133">
        <f t="shared" si="16"/>
        <v>846</v>
      </c>
      <c r="K85" s="104"/>
    </row>
    <row r="86" ht="14.25" customHeight="1">
      <c r="A86" s="134">
        <f t="shared" si="15"/>
        <v>13</v>
      </c>
      <c r="B86" s="80" t="s">
        <v>2098</v>
      </c>
      <c r="C86" s="106" t="s">
        <v>647</v>
      </c>
      <c r="D86" s="106" t="s">
        <v>649</v>
      </c>
      <c r="E86" s="106" t="s">
        <v>651</v>
      </c>
      <c r="F86" s="106" t="s">
        <v>648</v>
      </c>
      <c r="G86" s="106" t="s">
        <v>650</v>
      </c>
      <c r="H86" s="106" t="s">
        <v>652</v>
      </c>
      <c r="I86" s="135"/>
      <c r="J86" s="136">
        <f t="shared" si="16"/>
        <v>847</v>
      </c>
      <c r="K86" s="107"/>
    </row>
    <row r="87" ht="14.25" customHeight="1">
      <c r="A87" s="74">
        <v>1.0</v>
      </c>
      <c r="B87" s="75" t="s">
        <v>2100</v>
      </c>
      <c r="C87" s="99" t="s">
        <v>656</v>
      </c>
      <c r="D87" s="99" t="s">
        <v>658</v>
      </c>
      <c r="E87" s="99" t="s">
        <v>660</v>
      </c>
      <c r="F87" s="99" t="s">
        <v>657</v>
      </c>
      <c r="G87" s="99" t="s">
        <v>659</v>
      </c>
      <c r="H87" s="99" t="s">
        <v>661</v>
      </c>
      <c r="I87" s="130"/>
      <c r="J87" s="88">
        <v>848.0</v>
      </c>
      <c r="K87" s="100" t="s">
        <v>663</v>
      </c>
    </row>
    <row r="88" ht="14.25" customHeight="1">
      <c r="A88" s="77">
        <f t="shared" ref="A88:A100" si="17">A87+1</f>
        <v>2</v>
      </c>
      <c r="B88" s="11" t="s">
        <v>2100</v>
      </c>
      <c r="C88" s="103" t="s">
        <v>665</v>
      </c>
      <c r="D88" s="103" t="s">
        <v>667</v>
      </c>
      <c r="E88" s="103" t="s">
        <v>669</v>
      </c>
      <c r="F88" s="103" t="s">
        <v>666</v>
      </c>
      <c r="G88" s="103" t="s">
        <v>668</v>
      </c>
      <c r="H88" s="103" t="s">
        <v>670</v>
      </c>
      <c r="I88" s="132"/>
      <c r="J88" s="133">
        <f t="shared" ref="J88:J100" si="18">J87+1</f>
        <v>849</v>
      </c>
      <c r="K88" s="104" t="s">
        <v>672</v>
      </c>
    </row>
    <row r="89" ht="14.25" customHeight="1">
      <c r="A89" s="77">
        <f t="shared" si="17"/>
        <v>3</v>
      </c>
      <c r="B89" s="11" t="s">
        <v>2100</v>
      </c>
      <c r="C89" s="103" t="s">
        <v>673</v>
      </c>
      <c r="D89" s="103" t="s">
        <v>675</v>
      </c>
      <c r="E89" s="103" t="s">
        <v>677</v>
      </c>
      <c r="F89" s="103" t="s">
        <v>674</v>
      </c>
      <c r="G89" s="103" t="s">
        <v>676</v>
      </c>
      <c r="H89" s="103" t="s">
        <v>678</v>
      </c>
      <c r="I89" s="132"/>
      <c r="J89" s="133">
        <f t="shared" si="18"/>
        <v>850</v>
      </c>
      <c r="K89" s="104"/>
    </row>
    <row r="90" ht="14.25" customHeight="1">
      <c r="A90" s="77">
        <f t="shared" si="17"/>
        <v>4</v>
      </c>
      <c r="B90" s="11" t="s">
        <v>2100</v>
      </c>
      <c r="C90" s="103" t="s">
        <v>680</v>
      </c>
      <c r="D90" s="103" t="s">
        <v>682</v>
      </c>
      <c r="E90" s="103" t="s">
        <v>684</v>
      </c>
      <c r="F90" s="103" t="s">
        <v>681</v>
      </c>
      <c r="G90" s="103" t="s">
        <v>683</v>
      </c>
      <c r="H90" s="103" t="s">
        <v>685</v>
      </c>
      <c r="I90" s="132"/>
      <c r="J90" s="133">
        <f t="shared" si="18"/>
        <v>851</v>
      </c>
      <c r="K90" s="104"/>
    </row>
    <row r="91" ht="14.25" customHeight="1">
      <c r="A91" s="77">
        <f t="shared" si="17"/>
        <v>5</v>
      </c>
      <c r="B91" s="11" t="s">
        <v>2100</v>
      </c>
      <c r="C91" s="103" t="s">
        <v>687</v>
      </c>
      <c r="D91" s="103" t="s">
        <v>689</v>
      </c>
      <c r="E91" s="103" t="s">
        <v>691</v>
      </c>
      <c r="F91" s="103" t="s">
        <v>688</v>
      </c>
      <c r="G91" s="103" t="s">
        <v>690</v>
      </c>
      <c r="H91" s="103" t="s">
        <v>692</v>
      </c>
      <c r="I91" s="132"/>
      <c r="J91" s="133">
        <f t="shared" si="18"/>
        <v>852</v>
      </c>
      <c r="K91" s="104"/>
    </row>
    <row r="92" ht="14.25" customHeight="1">
      <c r="A92" s="77">
        <f t="shared" si="17"/>
        <v>6</v>
      </c>
      <c r="B92" s="11" t="s">
        <v>2100</v>
      </c>
      <c r="C92" s="103" t="s">
        <v>694</v>
      </c>
      <c r="D92" s="103" t="s">
        <v>696</v>
      </c>
      <c r="E92" s="103" t="s">
        <v>698</v>
      </c>
      <c r="F92" s="103" t="s">
        <v>695</v>
      </c>
      <c r="G92" s="103" t="s">
        <v>697</v>
      </c>
      <c r="H92" s="103" t="s">
        <v>699</v>
      </c>
      <c r="I92" s="132"/>
      <c r="J92" s="133">
        <f t="shared" si="18"/>
        <v>853</v>
      </c>
      <c r="K92" s="104" t="s">
        <v>701</v>
      </c>
    </row>
    <row r="93" ht="14.25" customHeight="1">
      <c r="A93" s="77">
        <f t="shared" si="17"/>
        <v>7</v>
      </c>
      <c r="B93" s="11" t="s">
        <v>2100</v>
      </c>
      <c r="C93" s="103" t="s">
        <v>702</v>
      </c>
      <c r="D93" s="103" t="s">
        <v>704</v>
      </c>
      <c r="E93" s="103" t="s">
        <v>706</v>
      </c>
      <c r="F93" s="103" t="s">
        <v>703</v>
      </c>
      <c r="G93" s="103" t="s">
        <v>705</v>
      </c>
      <c r="H93" s="103" t="s">
        <v>707</v>
      </c>
      <c r="I93" s="132"/>
      <c r="J93" s="133">
        <f t="shared" si="18"/>
        <v>854</v>
      </c>
      <c r="K93" s="104"/>
    </row>
    <row r="94" ht="14.25" customHeight="1">
      <c r="A94" s="77">
        <f t="shared" si="17"/>
        <v>8</v>
      </c>
      <c r="B94" s="11" t="s">
        <v>2100</v>
      </c>
      <c r="C94" s="103" t="s">
        <v>709</v>
      </c>
      <c r="D94" s="103" t="s">
        <v>711</v>
      </c>
      <c r="E94" s="103" t="s">
        <v>713</v>
      </c>
      <c r="F94" s="103" t="s">
        <v>710</v>
      </c>
      <c r="G94" s="103" t="s">
        <v>712</v>
      </c>
      <c r="H94" s="103" t="s">
        <v>714</v>
      </c>
      <c r="I94" s="132"/>
      <c r="J94" s="133">
        <f t="shared" si="18"/>
        <v>855</v>
      </c>
      <c r="K94" s="104"/>
    </row>
    <row r="95" ht="14.25" customHeight="1">
      <c r="A95" s="77">
        <f t="shared" si="17"/>
        <v>9</v>
      </c>
      <c r="B95" s="11" t="s">
        <v>2100</v>
      </c>
      <c r="C95" s="103" t="s">
        <v>716</v>
      </c>
      <c r="D95" s="103" t="s">
        <v>718</v>
      </c>
      <c r="E95" s="103" t="s">
        <v>720</v>
      </c>
      <c r="F95" s="103" t="s">
        <v>717</v>
      </c>
      <c r="G95" s="103" t="s">
        <v>719</v>
      </c>
      <c r="H95" s="103" t="s">
        <v>721</v>
      </c>
      <c r="I95" s="132"/>
      <c r="J95" s="133">
        <f t="shared" si="18"/>
        <v>856</v>
      </c>
      <c r="K95" s="104"/>
    </row>
    <row r="96" ht="14.25" customHeight="1">
      <c r="A96" s="77">
        <f t="shared" si="17"/>
        <v>10</v>
      </c>
      <c r="B96" s="11" t="s">
        <v>2100</v>
      </c>
      <c r="C96" s="103" t="s">
        <v>724</v>
      </c>
      <c r="D96" s="103" t="s">
        <v>726</v>
      </c>
      <c r="E96" s="103" t="s">
        <v>728</v>
      </c>
      <c r="F96" s="103" t="s">
        <v>725</v>
      </c>
      <c r="G96" s="103" t="s">
        <v>727</v>
      </c>
      <c r="H96" s="103" t="s">
        <v>729</v>
      </c>
      <c r="I96" s="132"/>
      <c r="J96" s="133">
        <f t="shared" si="18"/>
        <v>857</v>
      </c>
      <c r="K96" s="104"/>
    </row>
    <row r="97" ht="14.25" customHeight="1">
      <c r="A97" s="77">
        <f t="shared" si="17"/>
        <v>11</v>
      </c>
      <c r="B97" s="11" t="s">
        <v>2100</v>
      </c>
      <c r="C97" s="103" t="s">
        <v>731</v>
      </c>
      <c r="D97" s="103" t="s">
        <v>733</v>
      </c>
      <c r="E97" s="103" t="s">
        <v>735</v>
      </c>
      <c r="F97" s="103" t="s">
        <v>732</v>
      </c>
      <c r="G97" s="103" t="s">
        <v>734</v>
      </c>
      <c r="H97" s="103" t="s">
        <v>736</v>
      </c>
      <c r="I97" s="132"/>
      <c r="J97" s="133">
        <f t="shared" si="18"/>
        <v>858</v>
      </c>
      <c r="K97" s="104" t="s">
        <v>738</v>
      </c>
    </row>
    <row r="98" ht="14.25" customHeight="1">
      <c r="A98" s="77">
        <f t="shared" si="17"/>
        <v>12</v>
      </c>
      <c r="B98" s="11" t="s">
        <v>2100</v>
      </c>
      <c r="C98" s="103" t="s">
        <v>739</v>
      </c>
      <c r="D98" s="103" t="s">
        <v>741</v>
      </c>
      <c r="E98" s="103" t="s">
        <v>743</v>
      </c>
      <c r="F98" s="103" t="s">
        <v>740</v>
      </c>
      <c r="G98" s="103" t="s">
        <v>742</v>
      </c>
      <c r="H98" s="103" t="s">
        <v>744</v>
      </c>
      <c r="I98" s="132"/>
      <c r="J98" s="133">
        <f t="shared" si="18"/>
        <v>859</v>
      </c>
      <c r="K98" s="104"/>
    </row>
    <row r="99" ht="14.25" customHeight="1">
      <c r="A99" s="77">
        <f t="shared" si="17"/>
        <v>13</v>
      </c>
      <c r="B99" s="11" t="s">
        <v>2100</v>
      </c>
      <c r="C99" s="103" t="s">
        <v>746</v>
      </c>
      <c r="D99" s="103" t="s">
        <v>748</v>
      </c>
      <c r="E99" s="103" t="s">
        <v>750</v>
      </c>
      <c r="F99" s="103" t="s">
        <v>747</v>
      </c>
      <c r="G99" s="103" t="s">
        <v>749</v>
      </c>
      <c r="H99" s="103" t="s">
        <v>751</v>
      </c>
      <c r="I99" s="132"/>
      <c r="J99" s="133">
        <f t="shared" si="18"/>
        <v>860</v>
      </c>
      <c r="K99" s="104"/>
    </row>
    <row r="100" ht="14.25" customHeight="1">
      <c r="A100" s="86">
        <f t="shared" si="17"/>
        <v>14</v>
      </c>
      <c r="B100" s="126" t="s">
        <v>2100</v>
      </c>
      <c r="C100" s="106" t="s">
        <v>753</v>
      </c>
      <c r="D100" s="106" t="s">
        <v>755</v>
      </c>
      <c r="E100" s="106" t="s">
        <v>757</v>
      </c>
      <c r="F100" s="106" t="s">
        <v>754</v>
      </c>
      <c r="G100" s="106" t="s">
        <v>756</v>
      </c>
      <c r="H100" s="106" t="s">
        <v>758</v>
      </c>
      <c r="I100" s="135"/>
      <c r="J100" s="136">
        <f t="shared" si="18"/>
        <v>861</v>
      </c>
      <c r="K100" s="107" t="s">
        <v>760</v>
      </c>
    </row>
    <row r="101" ht="14.25" customHeight="1">
      <c r="A101" s="140">
        <v>1.0</v>
      </c>
      <c r="B101" s="141" t="s">
        <v>2101</v>
      </c>
      <c r="C101" s="142" t="s">
        <v>1163</v>
      </c>
      <c r="D101" s="99" t="s">
        <v>1165</v>
      </c>
      <c r="E101" s="99" t="s">
        <v>1167</v>
      </c>
      <c r="F101" s="99" t="s">
        <v>1164</v>
      </c>
      <c r="G101" s="99" t="s">
        <v>1166</v>
      </c>
      <c r="H101" s="99" t="s">
        <v>1168</v>
      </c>
      <c r="I101" s="130"/>
      <c r="J101" s="88">
        <v>915.0</v>
      </c>
      <c r="K101" s="100" t="s">
        <v>1170</v>
      </c>
    </row>
    <row r="102" ht="14.25" customHeight="1">
      <c r="A102" s="143">
        <f t="shared" ref="A102:A120" si="19">A101+1</f>
        <v>2</v>
      </c>
      <c r="B102" s="52" t="s">
        <v>2101</v>
      </c>
      <c r="C102" s="144" t="s">
        <v>1171</v>
      </c>
      <c r="D102" s="103" t="s">
        <v>1173</v>
      </c>
      <c r="E102" s="103" t="s">
        <v>1175</v>
      </c>
      <c r="F102" s="103" t="s">
        <v>1172</v>
      </c>
      <c r="G102" s="103" t="s">
        <v>1174</v>
      </c>
      <c r="H102" s="103" t="s">
        <v>1176</v>
      </c>
      <c r="I102" s="132"/>
      <c r="J102" s="133">
        <f t="shared" ref="J102:J120" si="20">J101+1</f>
        <v>916</v>
      </c>
      <c r="K102" s="104" t="s">
        <v>1178</v>
      </c>
    </row>
    <row r="103" ht="14.25" customHeight="1">
      <c r="A103" s="143">
        <f t="shared" si="19"/>
        <v>3</v>
      </c>
      <c r="B103" s="52" t="s">
        <v>2101</v>
      </c>
      <c r="C103" s="144" t="s">
        <v>1179</v>
      </c>
      <c r="D103" s="103" t="s">
        <v>1181</v>
      </c>
      <c r="E103" s="103" t="s">
        <v>1183</v>
      </c>
      <c r="F103" s="103" t="s">
        <v>1180</v>
      </c>
      <c r="G103" s="103" t="s">
        <v>1182</v>
      </c>
      <c r="H103" s="103" t="s">
        <v>1184</v>
      </c>
      <c r="I103" s="132"/>
      <c r="J103" s="133">
        <f t="shared" si="20"/>
        <v>917</v>
      </c>
      <c r="K103" s="104"/>
    </row>
    <row r="104" ht="14.25" customHeight="1">
      <c r="A104" s="143">
        <f t="shared" si="19"/>
        <v>4</v>
      </c>
      <c r="B104" s="52" t="s">
        <v>2101</v>
      </c>
      <c r="C104" s="144" t="s">
        <v>1186</v>
      </c>
      <c r="D104" s="103" t="s">
        <v>1188</v>
      </c>
      <c r="E104" s="103" t="s">
        <v>1190</v>
      </c>
      <c r="F104" s="103" t="s">
        <v>1187</v>
      </c>
      <c r="G104" s="103" t="s">
        <v>1189</v>
      </c>
      <c r="H104" s="103" t="s">
        <v>1191</v>
      </c>
      <c r="I104" s="132"/>
      <c r="J104" s="133">
        <f t="shared" si="20"/>
        <v>918</v>
      </c>
      <c r="K104" s="104"/>
    </row>
    <row r="105" ht="14.25" customHeight="1">
      <c r="A105" s="143">
        <f t="shared" si="19"/>
        <v>5</v>
      </c>
      <c r="B105" s="52" t="s">
        <v>2101</v>
      </c>
      <c r="C105" s="144" t="s">
        <v>1193</v>
      </c>
      <c r="D105" s="103" t="s">
        <v>1195</v>
      </c>
      <c r="E105" s="103" t="s">
        <v>1197</v>
      </c>
      <c r="F105" s="103" t="s">
        <v>1194</v>
      </c>
      <c r="G105" s="103" t="s">
        <v>1196</v>
      </c>
      <c r="H105" s="103" t="s">
        <v>1198</v>
      </c>
      <c r="I105" s="132"/>
      <c r="J105" s="133">
        <f t="shared" si="20"/>
        <v>919</v>
      </c>
      <c r="K105" s="104"/>
    </row>
    <row r="106" ht="14.25" customHeight="1">
      <c r="A106" s="143">
        <f t="shared" si="19"/>
        <v>6</v>
      </c>
      <c r="B106" s="52" t="s">
        <v>2101</v>
      </c>
      <c r="C106" s="144" t="s">
        <v>1200</v>
      </c>
      <c r="D106" s="103" t="s">
        <v>1202</v>
      </c>
      <c r="E106" s="103" t="s">
        <v>1204</v>
      </c>
      <c r="F106" s="103" t="s">
        <v>1201</v>
      </c>
      <c r="G106" s="103" t="s">
        <v>1203</v>
      </c>
      <c r="H106" s="103" t="s">
        <v>1205</v>
      </c>
      <c r="I106" s="132"/>
      <c r="J106" s="133">
        <f t="shared" si="20"/>
        <v>920</v>
      </c>
      <c r="K106" s="104"/>
    </row>
    <row r="107" ht="14.25" customHeight="1">
      <c r="A107" s="143">
        <f t="shared" si="19"/>
        <v>7</v>
      </c>
      <c r="B107" s="52" t="s">
        <v>2101</v>
      </c>
      <c r="C107" s="144" t="s">
        <v>1207</v>
      </c>
      <c r="D107" s="103" t="s">
        <v>1209</v>
      </c>
      <c r="E107" s="103" t="s">
        <v>1211</v>
      </c>
      <c r="F107" s="103" t="s">
        <v>1208</v>
      </c>
      <c r="G107" s="103" t="s">
        <v>1210</v>
      </c>
      <c r="H107" s="103" t="s">
        <v>1212</v>
      </c>
      <c r="I107" s="132"/>
      <c r="J107" s="133">
        <f t="shared" si="20"/>
        <v>921</v>
      </c>
      <c r="K107" s="104"/>
    </row>
    <row r="108" ht="14.25" customHeight="1">
      <c r="A108" s="143">
        <f t="shared" si="19"/>
        <v>8</v>
      </c>
      <c r="B108" s="52" t="s">
        <v>2101</v>
      </c>
      <c r="C108" s="144" t="s">
        <v>1214</v>
      </c>
      <c r="D108" s="103" t="s">
        <v>1216</v>
      </c>
      <c r="E108" s="103" t="s">
        <v>1218</v>
      </c>
      <c r="F108" s="103" t="s">
        <v>1215</v>
      </c>
      <c r="G108" s="103" t="s">
        <v>1217</v>
      </c>
      <c r="H108" s="103" t="s">
        <v>1219</v>
      </c>
      <c r="I108" s="132"/>
      <c r="J108" s="133">
        <f t="shared" si="20"/>
        <v>922</v>
      </c>
      <c r="K108" s="104"/>
    </row>
    <row r="109" ht="14.25" customHeight="1">
      <c r="A109" s="143">
        <f t="shared" si="19"/>
        <v>9</v>
      </c>
      <c r="B109" s="52" t="s">
        <v>2101</v>
      </c>
      <c r="C109" s="144" t="s">
        <v>1221</v>
      </c>
      <c r="D109" s="103" t="s">
        <v>1223</v>
      </c>
      <c r="E109" s="103" t="s">
        <v>1225</v>
      </c>
      <c r="F109" s="103" t="s">
        <v>1222</v>
      </c>
      <c r="G109" s="103" t="s">
        <v>1224</v>
      </c>
      <c r="H109" s="103" t="s">
        <v>1226</v>
      </c>
      <c r="I109" s="132"/>
      <c r="J109" s="133">
        <f t="shared" si="20"/>
        <v>923</v>
      </c>
      <c r="K109" s="104"/>
    </row>
    <row r="110" ht="14.25" customHeight="1">
      <c r="A110" s="143">
        <f t="shared" si="19"/>
        <v>10</v>
      </c>
      <c r="B110" s="52" t="s">
        <v>2101</v>
      </c>
      <c r="C110" s="144" t="s">
        <v>1229</v>
      </c>
      <c r="D110" s="103" t="s">
        <v>1231</v>
      </c>
      <c r="E110" s="103" t="s">
        <v>1233</v>
      </c>
      <c r="F110" s="103" t="s">
        <v>1230</v>
      </c>
      <c r="G110" s="103" t="s">
        <v>1232</v>
      </c>
      <c r="H110" s="103" t="s">
        <v>1234</v>
      </c>
      <c r="I110" s="132"/>
      <c r="J110" s="133">
        <f t="shared" si="20"/>
        <v>924</v>
      </c>
      <c r="K110" s="104"/>
    </row>
    <row r="111" ht="14.25" customHeight="1">
      <c r="A111" s="143">
        <f t="shared" si="19"/>
        <v>11</v>
      </c>
      <c r="B111" s="52" t="s">
        <v>2101</v>
      </c>
      <c r="C111" s="144" t="s">
        <v>1236</v>
      </c>
      <c r="D111" s="103" t="s">
        <v>1238</v>
      </c>
      <c r="E111" s="103" t="s">
        <v>1240</v>
      </c>
      <c r="F111" s="103" t="s">
        <v>1237</v>
      </c>
      <c r="G111" s="103" t="s">
        <v>1239</v>
      </c>
      <c r="H111" s="103" t="s">
        <v>1241</v>
      </c>
      <c r="I111" s="132"/>
      <c r="J111" s="133">
        <f t="shared" si="20"/>
        <v>925</v>
      </c>
      <c r="K111" s="104"/>
    </row>
    <row r="112" ht="14.25" customHeight="1">
      <c r="A112" s="143">
        <f t="shared" si="19"/>
        <v>12</v>
      </c>
      <c r="B112" s="52" t="s">
        <v>2101</v>
      </c>
      <c r="C112" s="144" t="s">
        <v>1243</v>
      </c>
      <c r="D112" s="103" t="s">
        <v>1245</v>
      </c>
      <c r="E112" s="103" t="s">
        <v>1247</v>
      </c>
      <c r="F112" s="103" t="s">
        <v>1244</v>
      </c>
      <c r="G112" s="103" t="s">
        <v>1246</v>
      </c>
      <c r="H112" s="103" t="s">
        <v>1248</v>
      </c>
      <c r="I112" s="132"/>
      <c r="J112" s="133">
        <f t="shared" si="20"/>
        <v>926</v>
      </c>
      <c r="K112" s="104"/>
    </row>
    <row r="113" ht="14.25" customHeight="1">
      <c r="A113" s="143">
        <f t="shared" si="19"/>
        <v>13</v>
      </c>
      <c r="B113" s="52" t="s">
        <v>2101</v>
      </c>
      <c r="C113" s="144" t="s">
        <v>1250</v>
      </c>
      <c r="D113" s="103" t="s">
        <v>1252</v>
      </c>
      <c r="E113" s="103" t="s">
        <v>1254</v>
      </c>
      <c r="F113" s="103" t="s">
        <v>1251</v>
      </c>
      <c r="G113" s="103" t="s">
        <v>1253</v>
      </c>
      <c r="H113" s="103" t="s">
        <v>1255</v>
      </c>
      <c r="I113" s="132"/>
      <c r="J113" s="133">
        <f t="shared" si="20"/>
        <v>927</v>
      </c>
      <c r="K113" s="104"/>
    </row>
    <row r="114" ht="14.25" customHeight="1">
      <c r="A114" s="143">
        <f t="shared" si="19"/>
        <v>14</v>
      </c>
      <c r="B114" s="52" t="s">
        <v>2101</v>
      </c>
      <c r="C114" s="144" t="s">
        <v>1257</v>
      </c>
      <c r="D114" s="103" t="s">
        <v>1259</v>
      </c>
      <c r="E114" s="103" t="s">
        <v>1261</v>
      </c>
      <c r="F114" s="103" t="s">
        <v>1258</v>
      </c>
      <c r="G114" s="103" t="s">
        <v>1260</v>
      </c>
      <c r="H114" s="103" t="s">
        <v>1262</v>
      </c>
      <c r="I114" s="132"/>
      <c r="J114" s="133">
        <f t="shared" si="20"/>
        <v>928</v>
      </c>
      <c r="K114" s="104"/>
    </row>
    <row r="115" ht="14.25" customHeight="1">
      <c r="A115" s="143">
        <f t="shared" si="19"/>
        <v>15</v>
      </c>
      <c r="B115" s="52" t="s">
        <v>2101</v>
      </c>
      <c r="C115" s="144" t="s">
        <v>1264</v>
      </c>
      <c r="D115" s="103" t="s">
        <v>1266</v>
      </c>
      <c r="E115" s="103" t="s">
        <v>1268</v>
      </c>
      <c r="F115" s="103" t="s">
        <v>1265</v>
      </c>
      <c r="G115" s="103" t="s">
        <v>1267</v>
      </c>
      <c r="H115" s="103" t="s">
        <v>1269</v>
      </c>
      <c r="I115" s="132"/>
      <c r="J115" s="133">
        <f t="shared" si="20"/>
        <v>929</v>
      </c>
      <c r="K115" s="104"/>
    </row>
    <row r="116" ht="14.25" customHeight="1">
      <c r="A116" s="143">
        <f t="shared" si="19"/>
        <v>16</v>
      </c>
      <c r="B116" s="52" t="s">
        <v>2101</v>
      </c>
      <c r="C116" s="144" t="s">
        <v>1271</v>
      </c>
      <c r="D116" s="103" t="s">
        <v>1273</v>
      </c>
      <c r="E116" s="103" t="s">
        <v>1275</v>
      </c>
      <c r="F116" s="103" t="s">
        <v>1272</v>
      </c>
      <c r="G116" s="103" t="s">
        <v>1274</v>
      </c>
      <c r="H116" s="103" t="s">
        <v>1276</v>
      </c>
      <c r="I116" s="132"/>
      <c r="J116" s="133">
        <f t="shared" si="20"/>
        <v>930</v>
      </c>
      <c r="K116" s="104"/>
    </row>
    <row r="117" ht="14.25" customHeight="1">
      <c r="A117" s="143">
        <f t="shared" si="19"/>
        <v>17</v>
      </c>
      <c r="B117" s="52" t="s">
        <v>2101</v>
      </c>
      <c r="C117" s="144" t="s">
        <v>1278</v>
      </c>
      <c r="D117" s="103" t="s">
        <v>1280</v>
      </c>
      <c r="E117" s="103" t="s">
        <v>1282</v>
      </c>
      <c r="F117" s="103" t="s">
        <v>1279</v>
      </c>
      <c r="G117" s="103" t="s">
        <v>1281</v>
      </c>
      <c r="H117" s="103" t="s">
        <v>1283</v>
      </c>
      <c r="I117" s="132"/>
      <c r="J117" s="133">
        <f t="shared" si="20"/>
        <v>931</v>
      </c>
      <c r="K117" s="104"/>
    </row>
    <row r="118" ht="14.25" customHeight="1">
      <c r="A118" s="143">
        <f t="shared" si="19"/>
        <v>18</v>
      </c>
      <c r="B118" s="52" t="s">
        <v>2101</v>
      </c>
      <c r="C118" s="144" t="s">
        <v>1285</v>
      </c>
      <c r="D118" s="103" t="s">
        <v>1287</v>
      </c>
      <c r="E118" s="103" t="s">
        <v>1289</v>
      </c>
      <c r="F118" s="103" t="s">
        <v>1286</v>
      </c>
      <c r="G118" s="103" t="s">
        <v>1288</v>
      </c>
      <c r="H118" s="103" t="s">
        <v>1290</v>
      </c>
      <c r="I118" s="132"/>
      <c r="J118" s="133">
        <f t="shared" si="20"/>
        <v>932</v>
      </c>
      <c r="K118" s="104"/>
    </row>
    <row r="119" ht="14.25" customHeight="1">
      <c r="A119" s="143">
        <f t="shared" si="19"/>
        <v>19</v>
      </c>
      <c r="B119" s="52" t="s">
        <v>2101</v>
      </c>
      <c r="C119" s="144" t="s">
        <v>1292</v>
      </c>
      <c r="D119" s="103" t="s">
        <v>1294</v>
      </c>
      <c r="E119" s="103" t="s">
        <v>1296</v>
      </c>
      <c r="F119" s="103" t="s">
        <v>1293</v>
      </c>
      <c r="G119" s="103" t="s">
        <v>1295</v>
      </c>
      <c r="H119" s="103" t="s">
        <v>1297</v>
      </c>
      <c r="I119" s="132"/>
      <c r="J119" s="133">
        <f t="shared" si="20"/>
        <v>933</v>
      </c>
      <c r="K119" s="104"/>
    </row>
    <row r="120" ht="14.25" customHeight="1">
      <c r="A120" s="145">
        <f t="shared" si="19"/>
        <v>20</v>
      </c>
      <c r="B120" s="146" t="s">
        <v>2101</v>
      </c>
      <c r="C120" s="147" t="s">
        <v>1300</v>
      </c>
      <c r="D120" s="106" t="s">
        <v>1302</v>
      </c>
      <c r="E120" s="106" t="s">
        <v>1304</v>
      </c>
      <c r="F120" s="106" t="s">
        <v>1301</v>
      </c>
      <c r="G120" s="106" t="s">
        <v>1303</v>
      </c>
      <c r="H120" s="106" t="s">
        <v>1305</v>
      </c>
      <c r="I120" s="135"/>
      <c r="J120" s="136">
        <f t="shared" si="20"/>
        <v>934</v>
      </c>
      <c r="K120" s="107"/>
    </row>
    <row r="121" ht="14.25" customHeight="1">
      <c r="A121" s="148">
        <v>1.0</v>
      </c>
      <c r="B121" s="149" t="s">
        <v>2102</v>
      </c>
      <c r="C121" s="150" t="s">
        <v>1309</v>
      </c>
      <c r="D121" s="151" t="s">
        <v>1311</v>
      </c>
      <c r="E121" s="151" t="s">
        <v>1313</v>
      </c>
      <c r="F121" s="151" t="s">
        <v>1310</v>
      </c>
      <c r="G121" s="151" t="s">
        <v>1312</v>
      </c>
      <c r="H121" s="151" t="s">
        <v>1314</v>
      </c>
      <c r="I121" s="152"/>
      <c r="J121" s="153">
        <v>935.0</v>
      </c>
      <c r="K121" s="154"/>
    </row>
    <row r="122" ht="14.25" customHeight="1">
      <c r="A122" s="155">
        <f t="shared" ref="A122:A140" si="21">+A121+1</f>
        <v>2</v>
      </c>
      <c r="B122" s="60" t="s">
        <v>2102</v>
      </c>
      <c r="C122" s="156" t="s">
        <v>1316</v>
      </c>
      <c r="D122" s="157" t="s">
        <v>1318</v>
      </c>
      <c r="E122" s="157" t="s">
        <v>1320</v>
      </c>
      <c r="F122" s="157" t="s">
        <v>1317</v>
      </c>
      <c r="G122" s="157" t="s">
        <v>1319</v>
      </c>
      <c r="H122" s="157" t="s">
        <v>1321</v>
      </c>
      <c r="I122" s="158"/>
      <c r="J122" s="159">
        <f t="shared" ref="J122:J140" si="22">J121+1</f>
        <v>936</v>
      </c>
      <c r="K122" s="160" t="s">
        <v>1323</v>
      </c>
    </row>
    <row r="123" ht="14.25" customHeight="1">
      <c r="A123" s="155">
        <f t="shared" si="21"/>
        <v>3</v>
      </c>
      <c r="B123" s="60" t="s">
        <v>2102</v>
      </c>
      <c r="C123" s="156" t="s">
        <v>1324</v>
      </c>
      <c r="D123" s="157" t="s">
        <v>1326</v>
      </c>
      <c r="E123" s="157" t="s">
        <v>1328</v>
      </c>
      <c r="F123" s="157" t="s">
        <v>1325</v>
      </c>
      <c r="G123" s="157" t="s">
        <v>1327</v>
      </c>
      <c r="H123" s="157" t="s">
        <v>1329</v>
      </c>
      <c r="I123" s="158"/>
      <c r="J123" s="159">
        <f t="shared" si="22"/>
        <v>937</v>
      </c>
      <c r="K123" s="160"/>
    </row>
    <row r="124" ht="14.25" customHeight="1">
      <c r="A124" s="155">
        <f t="shared" si="21"/>
        <v>4</v>
      </c>
      <c r="B124" s="60" t="s">
        <v>2102</v>
      </c>
      <c r="C124" s="156" t="s">
        <v>1331</v>
      </c>
      <c r="D124" s="157" t="s">
        <v>1333</v>
      </c>
      <c r="E124" s="157" t="s">
        <v>1335</v>
      </c>
      <c r="F124" s="157" t="s">
        <v>1332</v>
      </c>
      <c r="G124" s="157" t="s">
        <v>1334</v>
      </c>
      <c r="H124" s="157" t="s">
        <v>1336</v>
      </c>
      <c r="I124" s="158"/>
      <c r="J124" s="159">
        <f t="shared" si="22"/>
        <v>938</v>
      </c>
      <c r="K124" s="160"/>
    </row>
    <row r="125" ht="14.25" customHeight="1">
      <c r="A125" s="155">
        <f t="shared" si="21"/>
        <v>5</v>
      </c>
      <c r="B125" s="60" t="s">
        <v>2102</v>
      </c>
      <c r="C125" s="156" t="s">
        <v>1338</v>
      </c>
      <c r="D125" s="161" t="s">
        <v>1340</v>
      </c>
      <c r="E125" s="157" t="s">
        <v>1342</v>
      </c>
      <c r="F125" s="157" t="s">
        <v>1339</v>
      </c>
      <c r="G125" s="157" t="s">
        <v>1341</v>
      </c>
      <c r="H125" s="157" t="s">
        <v>1343</v>
      </c>
      <c r="I125" s="158"/>
      <c r="J125" s="159">
        <f t="shared" si="22"/>
        <v>939</v>
      </c>
      <c r="K125" s="160" t="s">
        <v>1345</v>
      </c>
    </row>
    <row r="126" ht="14.25" customHeight="1">
      <c r="A126" s="155">
        <f t="shared" si="21"/>
        <v>6</v>
      </c>
      <c r="B126" s="60" t="s">
        <v>2102</v>
      </c>
      <c r="C126" s="156" t="s">
        <v>1346</v>
      </c>
      <c r="D126" s="157" t="s">
        <v>1348</v>
      </c>
      <c r="E126" s="157" t="s">
        <v>1350</v>
      </c>
      <c r="F126" s="157" t="s">
        <v>1347</v>
      </c>
      <c r="G126" s="157" t="s">
        <v>1349</v>
      </c>
      <c r="H126" s="157" t="s">
        <v>1351</v>
      </c>
      <c r="I126" s="158"/>
      <c r="J126" s="159">
        <f t="shared" si="22"/>
        <v>940</v>
      </c>
      <c r="K126" s="160" t="s">
        <v>1353</v>
      </c>
    </row>
    <row r="127" ht="14.25" customHeight="1">
      <c r="A127" s="155">
        <f t="shared" si="21"/>
        <v>7</v>
      </c>
      <c r="B127" s="60" t="s">
        <v>2102</v>
      </c>
      <c r="C127" s="156" t="s">
        <v>1354</v>
      </c>
      <c r="D127" s="157" t="s">
        <v>1356</v>
      </c>
      <c r="E127" s="157" t="s">
        <v>1358</v>
      </c>
      <c r="F127" s="157" t="s">
        <v>1355</v>
      </c>
      <c r="G127" s="157" t="s">
        <v>1357</v>
      </c>
      <c r="H127" s="157" t="s">
        <v>1359</v>
      </c>
      <c r="I127" s="158"/>
      <c r="J127" s="159">
        <f t="shared" si="22"/>
        <v>941</v>
      </c>
      <c r="K127" s="160"/>
    </row>
    <row r="128" ht="14.25" customHeight="1">
      <c r="A128" s="155">
        <f t="shared" si="21"/>
        <v>8</v>
      </c>
      <c r="B128" s="60" t="s">
        <v>2102</v>
      </c>
      <c r="C128" s="156" t="s">
        <v>1361</v>
      </c>
      <c r="D128" s="157" t="s">
        <v>1363</v>
      </c>
      <c r="E128" s="157" t="s">
        <v>1365</v>
      </c>
      <c r="F128" s="157" t="s">
        <v>1362</v>
      </c>
      <c r="G128" s="157" t="s">
        <v>1364</v>
      </c>
      <c r="H128" s="157" t="s">
        <v>1366</v>
      </c>
      <c r="I128" s="158"/>
      <c r="J128" s="159">
        <f t="shared" si="22"/>
        <v>942</v>
      </c>
      <c r="K128" s="160"/>
    </row>
    <row r="129" ht="14.25" customHeight="1">
      <c r="A129" s="155">
        <f t="shared" si="21"/>
        <v>9</v>
      </c>
      <c r="B129" s="60" t="s">
        <v>2102</v>
      </c>
      <c r="C129" s="156" t="s">
        <v>1368</v>
      </c>
      <c r="D129" s="157" t="s">
        <v>1370</v>
      </c>
      <c r="E129" s="157" t="s">
        <v>1372</v>
      </c>
      <c r="F129" s="157" t="s">
        <v>1369</v>
      </c>
      <c r="G129" s="157" t="s">
        <v>1371</v>
      </c>
      <c r="H129" s="157" t="s">
        <v>1373</v>
      </c>
      <c r="I129" s="158"/>
      <c r="J129" s="159">
        <f t="shared" si="22"/>
        <v>943</v>
      </c>
      <c r="K129" s="160"/>
    </row>
    <row r="130" ht="14.25" customHeight="1">
      <c r="A130" s="155">
        <f t="shared" si="21"/>
        <v>10</v>
      </c>
      <c r="B130" s="60" t="s">
        <v>2102</v>
      </c>
      <c r="C130" s="156" t="s">
        <v>1376</v>
      </c>
      <c r="D130" s="157" t="s">
        <v>1378</v>
      </c>
      <c r="E130" s="157" t="s">
        <v>1380</v>
      </c>
      <c r="F130" s="157" t="s">
        <v>1377</v>
      </c>
      <c r="G130" s="157" t="s">
        <v>1379</v>
      </c>
      <c r="H130" s="157" t="s">
        <v>1381</v>
      </c>
      <c r="I130" s="158"/>
      <c r="J130" s="159">
        <f t="shared" si="22"/>
        <v>944</v>
      </c>
      <c r="K130" s="160"/>
    </row>
    <row r="131" ht="14.25" customHeight="1">
      <c r="A131" s="155">
        <f t="shared" si="21"/>
        <v>11</v>
      </c>
      <c r="B131" s="60" t="s">
        <v>2102</v>
      </c>
      <c r="C131" s="156" t="s">
        <v>1383</v>
      </c>
      <c r="D131" s="157" t="s">
        <v>1385</v>
      </c>
      <c r="E131" s="157" t="s">
        <v>1387</v>
      </c>
      <c r="F131" s="157" t="s">
        <v>1384</v>
      </c>
      <c r="G131" s="157" t="s">
        <v>1386</v>
      </c>
      <c r="H131" s="157" t="s">
        <v>1388</v>
      </c>
      <c r="I131" s="158"/>
      <c r="J131" s="159">
        <f t="shared" si="22"/>
        <v>945</v>
      </c>
      <c r="K131" s="160"/>
    </row>
    <row r="132" ht="14.25" customHeight="1">
      <c r="A132" s="155">
        <f t="shared" si="21"/>
        <v>12</v>
      </c>
      <c r="B132" s="60" t="s">
        <v>2102</v>
      </c>
      <c r="C132" s="156" t="s">
        <v>1390</v>
      </c>
      <c r="D132" s="157" t="s">
        <v>1392</v>
      </c>
      <c r="E132" s="157" t="s">
        <v>1394</v>
      </c>
      <c r="F132" s="157" t="s">
        <v>1391</v>
      </c>
      <c r="G132" s="157" t="s">
        <v>1393</v>
      </c>
      <c r="H132" s="157" t="s">
        <v>1395</v>
      </c>
      <c r="I132" s="158"/>
      <c r="J132" s="159">
        <f t="shared" si="22"/>
        <v>946</v>
      </c>
      <c r="K132" s="160"/>
    </row>
    <row r="133" ht="14.25" customHeight="1">
      <c r="A133" s="155">
        <f t="shared" si="21"/>
        <v>13</v>
      </c>
      <c r="B133" s="60" t="s">
        <v>2102</v>
      </c>
      <c r="C133" s="156" t="s">
        <v>1397</v>
      </c>
      <c r="D133" s="157" t="s">
        <v>1399</v>
      </c>
      <c r="E133" s="157" t="s">
        <v>1401</v>
      </c>
      <c r="F133" s="157" t="s">
        <v>1398</v>
      </c>
      <c r="G133" s="157" t="s">
        <v>1400</v>
      </c>
      <c r="H133" s="157" t="s">
        <v>1402</v>
      </c>
      <c r="I133" s="158"/>
      <c r="J133" s="159">
        <f t="shared" si="22"/>
        <v>947</v>
      </c>
      <c r="K133" s="160"/>
    </row>
    <row r="134" ht="14.25" customHeight="1">
      <c r="A134" s="155">
        <f t="shared" si="21"/>
        <v>14</v>
      </c>
      <c r="B134" s="60" t="s">
        <v>2102</v>
      </c>
      <c r="C134" s="156" t="s">
        <v>1404</v>
      </c>
      <c r="D134" s="157" t="s">
        <v>1406</v>
      </c>
      <c r="E134" s="157" t="s">
        <v>1408</v>
      </c>
      <c r="F134" s="157" t="s">
        <v>1405</v>
      </c>
      <c r="G134" s="157" t="s">
        <v>1407</v>
      </c>
      <c r="H134" s="157" t="s">
        <v>1409</v>
      </c>
      <c r="I134" s="158"/>
      <c r="J134" s="159">
        <f t="shared" si="22"/>
        <v>948</v>
      </c>
      <c r="K134" s="160"/>
    </row>
    <row r="135" ht="14.25" customHeight="1">
      <c r="A135" s="155">
        <f t="shared" si="21"/>
        <v>15</v>
      </c>
      <c r="B135" s="60" t="s">
        <v>2102</v>
      </c>
      <c r="C135" s="156" t="s">
        <v>1411</v>
      </c>
      <c r="D135" s="157" t="s">
        <v>1413</v>
      </c>
      <c r="E135" s="157" t="s">
        <v>1415</v>
      </c>
      <c r="F135" s="157" t="s">
        <v>1412</v>
      </c>
      <c r="G135" s="157" t="s">
        <v>1414</v>
      </c>
      <c r="H135" s="157" t="s">
        <v>1416</v>
      </c>
      <c r="I135" s="158"/>
      <c r="J135" s="159">
        <f t="shared" si="22"/>
        <v>949</v>
      </c>
      <c r="K135" s="160"/>
    </row>
    <row r="136" ht="14.25" customHeight="1">
      <c r="A136" s="155">
        <f t="shared" si="21"/>
        <v>16</v>
      </c>
      <c r="B136" s="60" t="s">
        <v>2102</v>
      </c>
      <c r="C136" s="156" t="s">
        <v>1418</v>
      </c>
      <c r="D136" s="157" t="s">
        <v>1420</v>
      </c>
      <c r="E136" s="157" t="s">
        <v>1422</v>
      </c>
      <c r="F136" s="157" t="s">
        <v>1419</v>
      </c>
      <c r="G136" s="157" t="s">
        <v>1421</v>
      </c>
      <c r="H136" s="157" t="s">
        <v>1423</v>
      </c>
      <c r="I136" s="158"/>
      <c r="J136" s="159">
        <f t="shared" si="22"/>
        <v>950</v>
      </c>
      <c r="K136" s="160"/>
    </row>
    <row r="137" ht="14.25" customHeight="1">
      <c r="A137" s="155">
        <f t="shared" si="21"/>
        <v>17</v>
      </c>
      <c r="B137" s="60" t="s">
        <v>2102</v>
      </c>
      <c r="C137" s="156" t="s">
        <v>1425</v>
      </c>
      <c r="D137" s="157" t="s">
        <v>1427</v>
      </c>
      <c r="E137" s="157" t="s">
        <v>1429</v>
      </c>
      <c r="F137" s="157" t="s">
        <v>1426</v>
      </c>
      <c r="G137" s="157" t="s">
        <v>1428</v>
      </c>
      <c r="H137" s="157" t="s">
        <v>1430</v>
      </c>
      <c r="I137" s="158"/>
      <c r="J137" s="159">
        <f t="shared" si="22"/>
        <v>951</v>
      </c>
      <c r="K137" s="160"/>
    </row>
    <row r="138" ht="14.25" customHeight="1">
      <c r="A138" s="155">
        <f t="shared" si="21"/>
        <v>18</v>
      </c>
      <c r="B138" s="60" t="s">
        <v>2102</v>
      </c>
      <c r="C138" s="156" t="s">
        <v>1432</v>
      </c>
      <c r="D138" s="157" t="s">
        <v>1434</v>
      </c>
      <c r="E138" s="157" t="s">
        <v>1436</v>
      </c>
      <c r="F138" s="157" t="s">
        <v>1433</v>
      </c>
      <c r="G138" s="157" t="s">
        <v>1435</v>
      </c>
      <c r="H138" s="157" t="s">
        <v>1437</v>
      </c>
      <c r="I138" s="158"/>
      <c r="J138" s="159">
        <f t="shared" si="22"/>
        <v>952</v>
      </c>
      <c r="K138" s="160"/>
    </row>
    <row r="139" ht="14.25" customHeight="1">
      <c r="A139" s="155">
        <f t="shared" si="21"/>
        <v>19</v>
      </c>
      <c r="B139" s="60" t="s">
        <v>2102</v>
      </c>
      <c r="C139" s="156" t="s">
        <v>1439</v>
      </c>
      <c r="D139" s="157" t="s">
        <v>1441</v>
      </c>
      <c r="E139" s="157" t="s">
        <v>1443</v>
      </c>
      <c r="F139" s="157" t="s">
        <v>1440</v>
      </c>
      <c r="G139" s="157" t="s">
        <v>1442</v>
      </c>
      <c r="H139" s="157" t="s">
        <v>1444</v>
      </c>
      <c r="I139" s="158"/>
      <c r="J139" s="159">
        <f t="shared" si="22"/>
        <v>953</v>
      </c>
      <c r="K139" s="160"/>
    </row>
    <row r="140" ht="14.25" customHeight="1">
      <c r="A140" s="162">
        <f t="shared" si="21"/>
        <v>20</v>
      </c>
      <c r="B140" s="163" t="s">
        <v>2102</v>
      </c>
      <c r="C140" s="164" t="s">
        <v>1447</v>
      </c>
      <c r="D140" s="165" t="s">
        <v>1449</v>
      </c>
      <c r="E140" s="165" t="s">
        <v>1451</v>
      </c>
      <c r="F140" s="165" t="s">
        <v>1448</v>
      </c>
      <c r="G140" s="165" t="s">
        <v>1450</v>
      </c>
      <c r="H140" s="165" t="s">
        <v>1452</v>
      </c>
      <c r="I140" s="166"/>
      <c r="J140" s="167">
        <f t="shared" si="22"/>
        <v>954</v>
      </c>
      <c r="K140" s="168"/>
    </row>
    <row r="141" ht="14.25" customHeight="1">
      <c r="A141" s="74">
        <v>1.0</v>
      </c>
      <c r="B141" s="75" t="s">
        <v>2103</v>
      </c>
      <c r="C141" s="99" t="s">
        <v>1456</v>
      </c>
      <c r="D141" s="99" t="s">
        <v>1458</v>
      </c>
      <c r="E141" s="99" t="s">
        <v>1460</v>
      </c>
      <c r="F141" s="99" t="s">
        <v>1457</v>
      </c>
      <c r="G141" s="99" t="s">
        <v>1459</v>
      </c>
      <c r="H141" s="99" t="s">
        <v>1461</v>
      </c>
      <c r="I141" s="130"/>
      <c r="J141" s="88">
        <v>955.0</v>
      </c>
      <c r="K141" s="100" t="s">
        <v>1463</v>
      </c>
    </row>
    <row r="142" ht="14.25" customHeight="1">
      <c r="A142" s="143">
        <f t="shared" ref="A142:A161" si="23">+A141+1</f>
        <v>2</v>
      </c>
      <c r="B142" s="11" t="s">
        <v>2103</v>
      </c>
      <c r="C142" s="103" t="s">
        <v>1464</v>
      </c>
      <c r="D142" s="103" t="s">
        <v>1466</v>
      </c>
      <c r="E142" s="103" t="s">
        <v>1468</v>
      </c>
      <c r="F142" s="103" t="s">
        <v>1465</v>
      </c>
      <c r="G142" s="103" t="s">
        <v>1467</v>
      </c>
      <c r="H142" s="103" t="s">
        <v>1469</v>
      </c>
      <c r="I142" s="132"/>
      <c r="J142" s="133">
        <f t="shared" ref="J142:J161" si="24">J141+1</f>
        <v>956</v>
      </c>
      <c r="K142" s="104" t="s">
        <v>1471</v>
      </c>
    </row>
    <row r="143" ht="14.25" customHeight="1">
      <c r="A143" s="143">
        <f t="shared" si="23"/>
        <v>3</v>
      </c>
      <c r="B143" s="11" t="s">
        <v>2103</v>
      </c>
      <c r="C143" s="103" t="s">
        <v>1472</v>
      </c>
      <c r="D143" s="103" t="s">
        <v>1474</v>
      </c>
      <c r="E143" s="93" t="s">
        <v>1476</v>
      </c>
      <c r="F143" s="103" t="s">
        <v>1473</v>
      </c>
      <c r="G143" s="103" t="s">
        <v>1475</v>
      </c>
      <c r="H143" s="103" t="s">
        <v>1477</v>
      </c>
      <c r="I143" s="132"/>
      <c r="J143" s="133">
        <f t="shared" si="24"/>
        <v>957</v>
      </c>
      <c r="K143" s="104" t="s">
        <v>1479</v>
      </c>
    </row>
    <row r="144" ht="14.25" customHeight="1">
      <c r="A144" s="143">
        <f t="shared" si="23"/>
        <v>4</v>
      </c>
      <c r="B144" s="11" t="s">
        <v>2103</v>
      </c>
      <c r="C144" s="103" t="s">
        <v>1480</v>
      </c>
      <c r="D144" s="103" t="s">
        <v>1482</v>
      </c>
      <c r="E144" s="103" t="s">
        <v>1484</v>
      </c>
      <c r="F144" s="103" t="s">
        <v>1481</v>
      </c>
      <c r="G144" s="103" t="s">
        <v>1483</v>
      </c>
      <c r="H144" s="103" t="s">
        <v>1485</v>
      </c>
      <c r="I144" s="132"/>
      <c r="J144" s="133">
        <f t="shared" si="24"/>
        <v>958</v>
      </c>
      <c r="K144" s="104"/>
    </row>
    <row r="145" ht="14.25" customHeight="1">
      <c r="A145" s="143">
        <f t="shared" si="23"/>
        <v>5</v>
      </c>
      <c r="B145" s="11" t="s">
        <v>2103</v>
      </c>
      <c r="C145" s="103" t="s">
        <v>1487</v>
      </c>
      <c r="D145" s="103" t="s">
        <v>1489</v>
      </c>
      <c r="E145" s="103" t="s">
        <v>1491</v>
      </c>
      <c r="F145" s="103" t="s">
        <v>1488</v>
      </c>
      <c r="G145" s="103" t="s">
        <v>1490</v>
      </c>
      <c r="H145" s="103" t="s">
        <v>1492</v>
      </c>
      <c r="I145" s="132"/>
      <c r="J145" s="133">
        <f t="shared" si="24"/>
        <v>959</v>
      </c>
      <c r="K145" s="104"/>
    </row>
    <row r="146" ht="14.25" customHeight="1">
      <c r="A146" s="143">
        <f t="shared" si="23"/>
        <v>6</v>
      </c>
      <c r="B146" s="11" t="s">
        <v>2103</v>
      </c>
      <c r="C146" s="103" t="s">
        <v>1494</v>
      </c>
      <c r="D146" s="103" t="s">
        <v>1496</v>
      </c>
      <c r="E146" s="103" t="s">
        <v>1498</v>
      </c>
      <c r="F146" s="103" t="s">
        <v>1495</v>
      </c>
      <c r="G146" s="103" t="s">
        <v>1497</v>
      </c>
      <c r="H146" s="103" t="s">
        <v>1499</v>
      </c>
      <c r="I146" s="132"/>
      <c r="J146" s="133">
        <f t="shared" si="24"/>
        <v>960</v>
      </c>
      <c r="K146" s="104"/>
    </row>
    <row r="147" ht="14.25" customHeight="1">
      <c r="A147" s="143">
        <f t="shared" si="23"/>
        <v>7</v>
      </c>
      <c r="B147" s="11" t="s">
        <v>2103</v>
      </c>
      <c r="C147" s="103" t="s">
        <v>1501</v>
      </c>
      <c r="D147" s="103" t="s">
        <v>1503</v>
      </c>
      <c r="E147" s="103" t="s">
        <v>1505</v>
      </c>
      <c r="F147" s="103" t="s">
        <v>1502</v>
      </c>
      <c r="G147" s="103" t="s">
        <v>1504</v>
      </c>
      <c r="H147" s="103" t="s">
        <v>1506</v>
      </c>
      <c r="I147" s="132"/>
      <c r="J147" s="133">
        <f t="shared" si="24"/>
        <v>961</v>
      </c>
      <c r="K147" s="104"/>
    </row>
    <row r="148" ht="14.25" customHeight="1">
      <c r="A148" s="143">
        <f t="shared" si="23"/>
        <v>8</v>
      </c>
      <c r="B148" s="11" t="s">
        <v>2103</v>
      </c>
      <c r="C148" s="103" t="s">
        <v>1508</v>
      </c>
      <c r="D148" s="103" t="s">
        <v>1510</v>
      </c>
      <c r="E148" s="103" t="s">
        <v>1512</v>
      </c>
      <c r="F148" s="103" t="s">
        <v>1509</v>
      </c>
      <c r="G148" s="103" t="s">
        <v>1511</v>
      </c>
      <c r="H148" s="103" t="s">
        <v>1513</v>
      </c>
      <c r="I148" s="132"/>
      <c r="J148" s="133">
        <f t="shared" si="24"/>
        <v>962</v>
      </c>
      <c r="K148" s="104"/>
    </row>
    <row r="149" ht="14.25" customHeight="1">
      <c r="A149" s="143">
        <f t="shared" si="23"/>
        <v>9</v>
      </c>
      <c r="B149" s="11" t="s">
        <v>2103</v>
      </c>
      <c r="C149" s="103" t="s">
        <v>1515</v>
      </c>
      <c r="D149" s="103" t="s">
        <v>1517</v>
      </c>
      <c r="E149" s="103" t="s">
        <v>1519</v>
      </c>
      <c r="F149" s="103" t="s">
        <v>1516</v>
      </c>
      <c r="G149" s="103" t="s">
        <v>1518</v>
      </c>
      <c r="H149" s="103" t="s">
        <v>1520</v>
      </c>
      <c r="I149" s="132"/>
      <c r="J149" s="133">
        <f t="shared" si="24"/>
        <v>963</v>
      </c>
      <c r="K149" s="104"/>
    </row>
    <row r="150" ht="14.25" customHeight="1">
      <c r="A150" s="143">
        <f t="shared" si="23"/>
        <v>10</v>
      </c>
      <c r="B150" s="11" t="s">
        <v>2103</v>
      </c>
      <c r="C150" s="103" t="s">
        <v>1523</v>
      </c>
      <c r="D150" s="103" t="s">
        <v>1525</v>
      </c>
      <c r="E150" s="103" t="s">
        <v>1527</v>
      </c>
      <c r="F150" s="103" t="s">
        <v>1524</v>
      </c>
      <c r="G150" s="103" t="s">
        <v>1526</v>
      </c>
      <c r="H150" s="103" t="s">
        <v>1528</v>
      </c>
      <c r="I150" s="132"/>
      <c r="J150" s="133">
        <f t="shared" si="24"/>
        <v>964</v>
      </c>
      <c r="K150" s="104"/>
    </row>
    <row r="151" ht="14.25" customHeight="1">
      <c r="A151" s="143">
        <f t="shared" si="23"/>
        <v>11</v>
      </c>
      <c r="B151" s="11" t="s">
        <v>2103</v>
      </c>
      <c r="C151" s="103" t="s">
        <v>1530</v>
      </c>
      <c r="D151" s="103" t="s">
        <v>1532</v>
      </c>
      <c r="E151" s="103" t="s">
        <v>1534</v>
      </c>
      <c r="F151" s="103" t="s">
        <v>1531</v>
      </c>
      <c r="G151" s="103" t="s">
        <v>1533</v>
      </c>
      <c r="H151" s="103" t="s">
        <v>1535</v>
      </c>
      <c r="I151" s="132"/>
      <c r="J151" s="133">
        <f t="shared" si="24"/>
        <v>965</v>
      </c>
      <c r="K151" s="104"/>
    </row>
    <row r="152" ht="14.25" customHeight="1">
      <c r="A152" s="143">
        <f t="shared" si="23"/>
        <v>12</v>
      </c>
      <c r="B152" s="11" t="s">
        <v>2103</v>
      </c>
      <c r="C152" s="103" t="s">
        <v>1537</v>
      </c>
      <c r="D152" s="103" t="s">
        <v>1539</v>
      </c>
      <c r="E152" s="103" t="s">
        <v>1541</v>
      </c>
      <c r="F152" s="103" t="s">
        <v>1538</v>
      </c>
      <c r="G152" s="103" t="s">
        <v>1540</v>
      </c>
      <c r="H152" s="103" t="s">
        <v>1542</v>
      </c>
      <c r="I152" s="132"/>
      <c r="J152" s="133">
        <f t="shared" si="24"/>
        <v>966</v>
      </c>
      <c r="K152" s="104"/>
    </row>
    <row r="153" ht="14.25" customHeight="1">
      <c r="A153" s="143">
        <f t="shared" si="23"/>
        <v>13</v>
      </c>
      <c r="B153" s="11" t="s">
        <v>2103</v>
      </c>
      <c r="C153" s="103" t="s">
        <v>1544</v>
      </c>
      <c r="D153" s="103" t="s">
        <v>1546</v>
      </c>
      <c r="E153" s="103" t="s">
        <v>1548</v>
      </c>
      <c r="F153" s="103" t="s">
        <v>1545</v>
      </c>
      <c r="G153" s="103" t="s">
        <v>1547</v>
      </c>
      <c r="H153" s="103" t="s">
        <v>1549</v>
      </c>
      <c r="I153" s="132"/>
      <c r="J153" s="133">
        <f t="shared" si="24"/>
        <v>967</v>
      </c>
      <c r="K153" s="104"/>
    </row>
    <row r="154" ht="14.25" customHeight="1">
      <c r="A154" s="143">
        <f t="shared" si="23"/>
        <v>14</v>
      </c>
      <c r="B154" s="11" t="s">
        <v>2103</v>
      </c>
      <c r="C154" s="103" t="s">
        <v>1551</v>
      </c>
      <c r="D154" s="103" t="s">
        <v>1553</v>
      </c>
      <c r="E154" s="103" t="s">
        <v>1555</v>
      </c>
      <c r="F154" s="103" t="s">
        <v>1552</v>
      </c>
      <c r="G154" s="103" t="s">
        <v>1554</v>
      </c>
      <c r="H154" s="103" t="s">
        <v>1556</v>
      </c>
      <c r="I154" s="132"/>
      <c r="J154" s="133">
        <f t="shared" si="24"/>
        <v>968</v>
      </c>
      <c r="K154" s="104"/>
    </row>
    <row r="155" ht="14.25" customHeight="1">
      <c r="A155" s="143">
        <f t="shared" si="23"/>
        <v>15</v>
      </c>
      <c r="B155" s="11" t="s">
        <v>2103</v>
      </c>
      <c r="C155" s="103" t="s">
        <v>1558</v>
      </c>
      <c r="D155" s="103" t="s">
        <v>1560</v>
      </c>
      <c r="E155" s="103" t="s">
        <v>1562</v>
      </c>
      <c r="F155" s="103" t="s">
        <v>1559</v>
      </c>
      <c r="G155" s="103" t="s">
        <v>1561</v>
      </c>
      <c r="H155" s="103" t="s">
        <v>1563</v>
      </c>
      <c r="I155" s="132"/>
      <c r="J155" s="133">
        <f t="shared" si="24"/>
        <v>969</v>
      </c>
      <c r="K155" s="104"/>
    </row>
    <row r="156" ht="14.25" customHeight="1">
      <c r="A156" s="143">
        <f t="shared" si="23"/>
        <v>16</v>
      </c>
      <c r="B156" s="11" t="s">
        <v>2103</v>
      </c>
      <c r="C156" s="103" t="s">
        <v>1565</v>
      </c>
      <c r="D156" s="103" t="s">
        <v>1567</v>
      </c>
      <c r="E156" s="103" t="s">
        <v>1569</v>
      </c>
      <c r="F156" s="103" t="s">
        <v>1566</v>
      </c>
      <c r="G156" s="103" t="s">
        <v>1568</v>
      </c>
      <c r="H156" s="103" t="s">
        <v>1570</v>
      </c>
      <c r="I156" s="132"/>
      <c r="J156" s="133">
        <f t="shared" si="24"/>
        <v>970</v>
      </c>
      <c r="K156" s="104"/>
    </row>
    <row r="157" ht="14.25" customHeight="1">
      <c r="A157" s="143">
        <f t="shared" si="23"/>
        <v>17</v>
      </c>
      <c r="B157" s="11" t="s">
        <v>2103</v>
      </c>
      <c r="C157" s="103" t="s">
        <v>1572</v>
      </c>
      <c r="D157" s="103" t="s">
        <v>1574</v>
      </c>
      <c r="E157" s="103" t="s">
        <v>1576</v>
      </c>
      <c r="F157" s="103" t="s">
        <v>1573</v>
      </c>
      <c r="G157" s="103" t="s">
        <v>1575</v>
      </c>
      <c r="H157" s="103" t="s">
        <v>1577</v>
      </c>
      <c r="I157" s="132"/>
      <c r="J157" s="133">
        <f t="shared" si="24"/>
        <v>971</v>
      </c>
      <c r="K157" s="104"/>
    </row>
    <row r="158" ht="14.25" customHeight="1">
      <c r="A158" s="143">
        <f t="shared" si="23"/>
        <v>18</v>
      </c>
      <c r="B158" s="11" t="s">
        <v>2103</v>
      </c>
      <c r="C158" s="103" t="s">
        <v>1579</v>
      </c>
      <c r="D158" s="103" t="s">
        <v>1581</v>
      </c>
      <c r="E158" s="103" t="s">
        <v>1583</v>
      </c>
      <c r="F158" s="103" t="s">
        <v>1580</v>
      </c>
      <c r="G158" s="103" t="s">
        <v>1582</v>
      </c>
      <c r="H158" s="103" t="s">
        <v>1584</v>
      </c>
      <c r="I158" s="132"/>
      <c r="J158" s="133">
        <f t="shared" si="24"/>
        <v>972</v>
      </c>
      <c r="K158" s="104"/>
    </row>
    <row r="159" ht="14.25" customHeight="1">
      <c r="A159" s="143">
        <f t="shared" si="23"/>
        <v>19</v>
      </c>
      <c r="B159" s="11" t="s">
        <v>2103</v>
      </c>
      <c r="C159" s="103" t="s">
        <v>1586</v>
      </c>
      <c r="D159" s="103" t="s">
        <v>1588</v>
      </c>
      <c r="E159" s="103" t="s">
        <v>1590</v>
      </c>
      <c r="F159" s="103" t="s">
        <v>1587</v>
      </c>
      <c r="G159" s="103" t="s">
        <v>1589</v>
      </c>
      <c r="H159" s="103" t="s">
        <v>1591</v>
      </c>
      <c r="I159" s="132"/>
      <c r="J159" s="133">
        <f t="shared" si="24"/>
        <v>973</v>
      </c>
      <c r="K159" s="104"/>
    </row>
    <row r="160" ht="14.25" customHeight="1">
      <c r="A160" s="143">
        <f t="shared" si="23"/>
        <v>20</v>
      </c>
      <c r="B160" s="11" t="s">
        <v>2103</v>
      </c>
      <c r="C160" s="103" t="s">
        <v>1594</v>
      </c>
      <c r="D160" s="103" t="s">
        <v>1596</v>
      </c>
      <c r="E160" s="103" t="s">
        <v>1598</v>
      </c>
      <c r="F160" s="103" t="s">
        <v>1595</v>
      </c>
      <c r="G160" s="103" t="s">
        <v>1597</v>
      </c>
      <c r="H160" s="103" t="s">
        <v>1599</v>
      </c>
      <c r="I160" s="132"/>
      <c r="J160" s="133">
        <f t="shared" si="24"/>
        <v>974</v>
      </c>
      <c r="K160" s="104"/>
    </row>
    <row r="161" ht="14.25" customHeight="1">
      <c r="A161" s="145">
        <f t="shared" si="23"/>
        <v>21</v>
      </c>
      <c r="B161" s="126" t="s">
        <v>2103</v>
      </c>
      <c r="C161" s="106" t="s">
        <v>1601</v>
      </c>
      <c r="D161" s="106" t="s">
        <v>1603</v>
      </c>
      <c r="E161" s="106" t="s">
        <v>1605</v>
      </c>
      <c r="F161" s="106" t="s">
        <v>1602</v>
      </c>
      <c r="G161" s="106" t="s">
        <v>1604</v>
      </c>
      <c r="H161" s="106" t="s">
        <v>1606</v>
      </c>
      <c r="I161" s="135"/>
      <c r="J161" s="136">
        <f t="shared" si="24"/>
        <v>975</v>
      </c>
      <c r="K161" s="107"/>
    </row>
    <row r="162" ht="14.25" customHeight="1">
      <c r="A162" s="74">
        <v>1.0</v>
      </c>
      <c r="B162" s="75" t="s">
        <v>2104</v>
      </c>
      <c r="C162" s="99" t="s">
        <v>2105</v>
      </c>
      <c r="D162" s="99" t="s">
        <v>2106</v>
      </c>
      <c r="E162" s="99" t="s">
        <v>2107</v>
      </c>
      <c r="F162" s="130"/>
      <c r="G162" s="99" t="s">
        <v>2108</v>
      </c>
      <c r="H162" s="99" t="s">
        <v>2109</v>
      </c>
      <c r="I162" s="130"/>
      <c r="J162" s="88">
        <v>701.0</v>
      </c>
      <c r="K162" s="100" t="s">
        <v>2110</v>
      </c>
    </row>
    <row r="163" ht="14.25" customHeight="1">
      <c r="A163" s="77">
        <f t="shared" ref="A163:A184" si="25">A162+1</f>
        <v>2</v>
      </c>
      <c r="B163" s="11" t="s">
        <v>2104</v>
      </c>
      <c r="C163" s="103" t="s">
        <v>2111</v>
      </c>
      <c r="D163" s="103" t="s">
        <v>2112</v>
      </c>
      <c r="E163" s="103" t="s">
        <v>2113</v>
      </c>
      <c r="F163" s="132"/>
      <c r="G163" s="103" t="s">
        <v>2114</v>
      </c>
      <c r="H163" s="103" t="s">
        <v>2115</v>
      </c>
      <c r="I163" s="132"/>
      <c r="J163" s="133">
        <f t="shared" ref="J163:J184" si="26">J162+1</f>
        <v>702</v>
      </c>
      <c r="K163" s="104"/>
    </row>
    <row r="164" ht="14.25" customHeight="1">
      <c r="A164" s="77">
        <f t="shared" si="25"/>
        <v>3</v>
      </c>
      <c r="B164" s="11" t="s">
        <v>2104</v>
      </c>
      <c r="C164" s="103" t="s">
        <v>2116</v>
      </c>
      <c r="D164" s="103" t="s">
        <v>2117</v>
      </c>
      <c r="E164" s="103" t="s">
        <v>2118</v>
      </c>
      <c r="F164" s="132"/>
      <c r="G164" s="103" t="s">
        <v>2119</v>
      </c>
      <c r="H164" s="103" t="s">
        <v>2120</v>
      </c>
      <c r="I164" s="132"/>
      <c r="J164" s="133">
        <f t="shared" si="26"/>
        <v>703</v>
      </c>
      <c r="K164" s="104"/>
    </row>
    <row r="165" ht="14.25" customHeight="1">
      <c r="A165" s="77">
        <f t="shared" si="25"/>
        <v>4</v>
      </c>
      <c r="B165" s="11" t="s">
        <v>2104</v>
      </c>
      <c r="C165" s="103" t="s">
        <v>2121</v>
      </c>
      <c r="D165" s="103" t="s">
        <v>2122</v>
      </c>
      <c r="E165" s="103" t="s">
        <v>2123</v>
      </c>
      <c r="F165" s="132"/>
      <c r="G165" s="103" t="s">
        <v>2124</v>
      </c>
      <c r="H165" s="103" t="s">
        <v>2125</v>
      </c>
      <c r="I165" s="132"/>
      <c r="J165" s="133">
        <f t="shared" si="26"/>
        <v>704</v>
      </c>
      <c r="K165" s="104"/>
    </row>
    <row r="166" ht="14.25" customHeight="1">
      <c r="A166" s="77">
        <f t="shared" si="25"/>
        <v>5</v>
      </c>
      <c r="B166" s="11" t="s">
        <v>2104</v>
      </c>
      <c r="C166" s="103" t="s">
        <v>2126</v>
      </c>
      <c r="D166" s="103" t="s">
        <v>2127</v>
      </c>
      <c r="E166" s="103" t="s">
        <v>2128</v>
      </c>
      <c r="F166" s="132"/>
      <c r="G166" s="103" t="s">
        <v>2129</v>
      </c>
      <c r="H166" s="103" t="s">
        <v>2130</v>
      </c>
      <c r="I166" s="132"/>
      <c r="J166" s="133">
        <f t="shared" si="26"/>
        <v>705</v>
      </c>
      <c r="K166" s="104"/>
    </row>
    <row r="167" ht="14.25" customHeight="1">
      <c r="A167" s="77">
        <f t="shared" si="25"/>
        <v>6</v>
      </c>
      <c r="B167" s="11" t="s">
        <v>2104</v>
      </c>
      <c r="C167" s="103" t="s">
        <v>2131</v>
      </c>
      <c r="D167" s="103" t="s">
        <v>2132</v>
      </c>
      <c r="E167" s="103" t="s">
        <v>2133</v>
      </c>
      <c r="F167" s="132"/>
      <c r="G167" s="103" t="s">
        <v>2134</v>
      </c>
      <c r="H167" s="103" t="s">
        <v>2135</v>
      </c>
      <c r="I167" s="132"/>
      <c r="J167" s="133">
        <f t="shared" si="26"/>
        <v>706</v>
      </c>
      <c r="K167" s="104"/>
    </row>
    <row r="168" ht="14.25" customHeight="1">
      <c r="A168" s="77">
        <f t="shared" si="25"/>
        <v>7</v>
      </c>
      <c r="B168" s="11" t="s">
        <v>2104</v>
      </c>
      <c r="C168" s="103" t="s">
        <v>2136</v>
      </c>
      <c r="D168" s="103" t="s">
        <v>2137</v>
      </c>
      <c r="E168" s="103" t="s">
        <v>2138</v>
      </c>
      <c r="F168" s="132"/>
      <c r="G168" s="103" t="s">
        <v>2139</v>
      </c>
      <c r="H168" s="103" t="s">
        <v>2140</v>
      </c>
      <c r="I168" s="132"/>
      <c r="J168" s="133">
        <f t="shared" si="26"/>
        <v>707</v>
      </c>
      <c r="K168" s="104"/>
    </row>
    <row r="169" ht="14.25" customHeight="1">
      <c r="A169" s="77">
        <f t="shared" si="25"/>
        <v>8</v>
      </c>
      <c r="B169" s="11" t="s">
        <v>2104</v>
      </c>
      <c r="C169" s="103" t="s">
        <v>2141</v>
      </c>
      <c r="D169" s="103" t="s">
        <v>2142</v>
      </c>
      <c r="E169" s="103" t="s">
        <v>2143</v>
      </c>
      <c r="F169" s="132"/>
      <c r="G169" s="103" t="s">
        <v>2144</v>
      </c>
      <c r="H169" s="103" t="s">
        <v>2145</v>
      </c>
      <c r="I169" s="132"/>
      <c r="J169" s="133">
        <f t="shared" si="26"/>
        <v>708</v>
      </c>
      <c r="K169" s="104"/>
    </row>
    <row r="170" ht="14.25" customHeight="1">
      <c r="A170" s="77">
        <f t="shared" si="25"/>
        <v>9</v>
      </c>
      <c r="B170" s="11" t="s">
        <v>2104</v>
      </c>
      <c r="C170" s="103" t="s">
        <v>2146</v>
      </c>
      <c r="D170" s="103" t="s">
        <v>2147</v>
      </c>
      <c r="E170" s="103" t="s">
        <v>2148</v>
      </c>
      <c r="F170" s="132"/>
      <c r="G170" s="103" t="s">
        <v>2149</v>
      </c>
      <c r="H170" s="103" t="s">
        <v>2150</v>
      </c>
      <c r="I170" s="132"/>
      <c r="J170" s="133">
        <f t="shared" si="26"/>
        <v>709</v>
      </c>
      <c r="K170" s="104"/>
    </row>
    <row r="171" ht="14.25" customHeight="1">
      <c r="A171" s="77">
        <f t="shared" si="25"/>
        <v>10</v>
      </c>
      <c r="B171" s="11" t="s">
        <v>2104</v>
      </c>
      <c r="C171" s="103" t="s">
        <v>2151</v>
      </c>
      <c r="D171" s="103" t="s">
        <v>2152</v>
      </c>
      <c r="E171" s="103" t="s">
        <v>2153</v>
      </c>
      <c r="F171" s="132"/>
      <c r="G171" s="103" t="s">
        <v>2154</v>
      </c>
      <c r="H171" s="103" t="s">
        <v>2155</v>
      </c>
      <c r="I171" s="132"/>
      <c r="J171" s="133">
        <f t="shared" si="26"/>
        <v>710</v>
      </c>
      <c r="K171" s="104"/>
    </row>
    <row r="172" ht="14.25" customHeight="1">
      <c r="A172" s="77">
        <f t="shared" si="25"/>
        <v>11</v>
      </c>
      <c r="B172" s="11" t="s">
        <v>2104</v>
      </c>
      <c r="C172" s="103" t="s">
        <v>2156</v>
      </c>
      <c r="D172" s="103" t="s">
        <v>2157</v>
      </c>
      <c r="E172" s="103" t="s">
        <v>2158</v>
      </c>
      <c r="F172" s="132"/>
      <c r="G172" s="103" t="s">
        <v>2159</v>
      </c>
      <c r="H172" s="103" t="s">
        <v>2160</v>
      </c>
      <c r="I172" s="132"/>
      <c r="J172" s="133">
        <f t="shared" si="26"/>
        <v>711</v>
      </c>
      <c r="K172" s="104"/>
    </row>
    <row r="173" ht="14.25" customHeight="1">
      <c r="A173" s="77">
        <f t="shared" si="25"/>
        <v>12</v>
      </c>
      <c r="B173" s="11" t="s">
        <v>2104</v>
      </c>
      <c r="C173" s="103" t="s">
        <v>2161</v>
      </c>
      <c r="D173" s="103" t="s">
        <v>2162</v>
      </c>
      <c r="E173" s="93" t="s">
        <v>2163</v>
      </c>
      <c r="F173" s="132"/>
      <c r="G173" s="103" t="s">
        <v>2164</v>
      </c>
      <c r="H173" s="103" t="s">
        <v>2165</v>
      </c>
      <c r="I173" s="132"/>
      <c r="J173" s="133">
        <f t="shared" si="26"/>
        <v>712</v>
      </c>
      <c r="K173" s="104"/>
    </row>
    <row r="174" ht="14.25" customHeight="1">
      <c r="A174" s="77">
        <f t="shared" si="25"/>
        <v>13</v>
      </c>
      <c r="B174" s="11" t="s">
        <v>2104</v>
      </c>
      <c r="C174" s="103" t="s">
        <v>2166</v>
      </c>
      <c r="D174" s="103" t="s">
        <v>2167</v>
      </c>
      <c r="E174" s="103" t="s">
        <v>2168</v>
      </c>
      <c r="F174" s="132"/>
      <c r="G174" s="103" t="s">
        <v>2169</v>
      </c>
      <c r="H174" s="103" t="s">
        <v>2170</v>
      </c>
      <c r="I174" s="132"/>
      <c r="J174" s="133">
        <f t="shared" si="26"/>
        <v>713</v>
      </c>
      <c r="K174" s="104"/>
    </row>
    <row r="175" ht="14.25" customHeight="1">
      <c r="A175" s="77">
        <f t="shared" si="25"/>
        <v>14</v>
      </c>
      <c r="B175" s="11" t="s">
        <v>2104</v>
      </c>
      <c r="C175" s="103" t="s">
        <v>2171</v>
      </c>
      <c r="D175" s="103" t="s">
        <v>2172</v>
      </c>
      <c r="E175" s="103" t="s">
        <v>2173</v>
      </c>
      <c r="F175" s="132"/>
      <c r="G175" s="103" t="s">
        <v>2174</v>
      </c>
      <c r="H175" s="103" t="s">
        <v>2175</v>
      </c>
      <c r="I175" s="132"/>
      <c r="J175" s="133">
        <f t="shared" si="26"/>
        <v>714</v>
      </c>
      <c r="K175" s="104"/>
    </row>
    <row r="176" ht="14.25" customHeight="1">
      <c r="A176" s="77">
        <f t="shared" si="25"/>
        <v>15</v>
      </c>
      <c r="B176" s="11" t="s">
        <v>2104</v>
      </c>
      <c r="C176" s="103" t="s">
        <v>2176</v>
      </c>
      <c r="D176" s="103" t="s">
        <v>2177</v>
      </c>
      <c r="E176" s="103" t="s">
        <v>2178</v>
      </c>
      <c r="F176" s="132"/>
      <c r="G176" s="103" t="s">
        <v>2179</v>
      </c>
      <c r="H176" s="103" t="s">
        <v>2180</v>
      </c>
      <c r="I176" s="132"/>
      <c r="J176" s="133">
        <f t="shared" si="26"/>
        <v>715</v>
      </c>
      <c r="K176" s="104"/>
    </row>
    <row r="177" ht="14.25" customHeight="1">
      <c r="A177" s="77">
        <f t="shared" si="25"/>
        <v>16</v>
      </c>
      <c r="B177" s="11" t="s">
        <v>2104</v>
      </c>
      <c r="C177" s="103" t="s">
        <v>2181</v>
      </c>
      <c r="D177" s="103" t="s">
        <v>2182</v>
      </c>
      <c r="E177" s="103" t="s">
        <v>2183</v>
      </c>
      <c r="F177" s="132"/>
      <c r="G177" s="103" t="s">
        <v>2184</v>
      </c>
      <c r="H177" s="103" t="s">
        <v>2185</v>
      </c>
      <c r="I177" s="132"/>
      <c r="J177" s="133">
        <f t="shared" si="26"/>
        <v>716</v>
      </c>
      <c r="K177" s="104"/>
    </row>
    <row r="178" ht="14.25" customHeight="1">
      <c r="A178" s="77">
        <f t="shared" si="25"/>
        <v>17</v>
      </c>
      <c r="B178" s="11" t="s">
        <v>2104</v>
      </c>
      <c r="C178" s="103" t="s">
        <v>2186</v>
      </c>
      <c r="D178" s="103" t="s">
        <v>2187</v>
      </c>
      <c r="E178" s="103" t="s">
        <v>2188</v>
      </c>
      <c r="F178" s="132"/>
      <c r="G178" s="103" t="s">
        <v>2189</v>
      </c>
      <c r="H178" s="103" t="s">
        <v>2190</v>
      </c>
      <c r="I178" s="132"/>
      <c r="J178" s="133">
        <f t="shared" si="26"/>
        <v>717</v>
      </c>
      <c r="K178" s="104"/>
    </row>
    <row r="179" ht="14.25" customHeight="1">
      <c r="A179" s="77">
        <f t="shared" si="25"/>
        <v>18</v>
      </c>
      <c r="B179" s="11" t="s">
        <v>2104</v>
      </c>
      <c r="C179" s="103" t="s">
        <v>2191</v>
      </c>
      <c r="D179" s="103" t="s">
        <v>2192</v>
      </c>
      <c r="E179" s="103" t="s">
        <v>2193</v>
      </c>
      <c r="F179" s="132"/>
      <c r="G179" s="103" t="s">
        <v>2194</v>
      </c>
      <c r="H179" s="103" t="s">
        <v>2195</v>
      </c>
      <c r="I179" s="132"/>
      <c r="J179" s="133">
        <f t="shared" si="26"/>
        <v>718</v>
      </c>
      <c r="K179" s="104"/>
    </row>
    <row r="180" ht="14.25" customHeight="1">
      <c r="A180" s="77">
        <f t="shared" si="25"/>
        <v>19</v>
      </c>
      <c r="B180" s="11" t="s">
        <v>2104</v>
      </c>
      <c r="C180" s="103" t="s">
        <v>2196</v>
      </c>
      <c r="D180" s="103" t="s">
        <v>2197</v>
      </c>
      <c r="E180" s="103" t="s">
        <v>2198</v>
      </c>
      <c r="F180" s="132"/>
      <c r="G180" s="103" t="s">
        <v>2199</v>
      </c>
      <c r="H180" s="103" t="s">
        <v>2200</v>
      </c>
      <c r="I180" s="132"/>
      <c r="J180" s="133">
        <f t="shared" si="26"/>
        <v>719</v>
      </c>
      <c r="K180" s="104"/>
    </row>
    <row r="181" ht="14.25" customHeight="1">
      <c r="A181" s="77">
        <f t="shared" si="25"/>
        <v>20</v>
      </c>
      <c r="B181" s="11" t="s">
        <v>2104</v>
      </c>
      <c r="C181" s="103" t="s">
        <v>2201</v>
      </c>
      <c r="D181" s="103" t="s">
        <v>2202</v>
      </c>
      <c r="E181" s="103" t="s">
        <v>2203</v>
      </c>
      <c r="F181" s="132"/>
      <c r="G181" s="103" t="s">
        <v>2204</v>
      </c>
      <c r="H181" s="103" t="s">
        <v>2205</v>
      </c>
      <c r="I181" s="132"/>
      <c r="J181" s="133">
        <f t="shared" si="26"/>
        <v>720</v>
      </c>
      <c r="K181" s="104"/>
    </row>
    <row r="182" ht="14.25" customHeight="1">
      <c r="A182" s="77">
        <f t="shared" si="25"/>
        <v>21</v>
      </c>
      <c r="B182" s="11" t="s">
        <v>2104</v>
      </c>
      <c r="C182" s="103" t="s">
        <v>2206</v>
      </c>
      <c r="D182" s="103" t="s">
        <v>2207</v>
      </c>
      <c r="E182" s="103" t="s">
        <v>2208</v>
      </c>
      <c r="F182" s="132"/>
      <c r="G182" s="103" t="s">
        <v>2209</v>
      </c>
      <c r="H182" s="103" t="s">
        <v>2210</v>
      </c>
      <c r="I182" s="132"/>
      <c r="J182" s="133">
        <f t="shared" si="26"/>
        <v>721</v>
      </c>
      <c r="K182" s="104"/>
    </row>
    <row r="183" ht="14.25" customHeight="1">
      <c r="A183" s="77">
        <f t="shared" si="25"/>
        <v>22</v>
      </c>
      <c r="B183" s="11" t="s">
        <v>2104</v>
      </c>
      <c r="C183" s="103" t="s">
        <v>2211</v>
      </c>
      <c r="D183" s="103" t="s">
        <v>2212</v>
      </c>
      <c r="E183" s="103" t="s">
        <v>2213</v>
      </c>
      <c r="F183" s="132"/>
      <c r="G183" s="103" t="s">
        <v>2214</v>
      </c>
      <c r="H183" s="103" t="s">
        <v>2215</v>
      </c>
      <c r="I183" s="132"/>
      <c r="J183" s="133">
        <f t="shared" si="26"/>
        <v>722</v>
      </c>
      <c r="K183" s="104"/>
    </row>
    <row r="184" ht="14.25" customHeight="1">
      <c r="A184" s="86">
        <f t="shared" si="25"/>
        <v>23</v>
      </c>
      <c r="B184" s="126" t="s">
        <v>2104</v>
      </c>
      <c r="C184" s="106" t="s">
        <v>2216</v>
      </c>
      <c r="D184" s="106" t="s">
        <v>2217</v>
      </c>
      <c r="E184" s="106" t="s">
        <v>2218</v>
      </c>
      <c r="F184" s="135"/>
      <c r="G184" s="106" t="s">
        <v>2219</v>
      </c>
      <c r="H184" s="106" t="s">
        <v>2220</v>
      </c>
      <c r="I184" s="135"/>
      <c r="J184" s="136">
        <f t="shared" si="26"/>
        <v>723</v>
      </c>
      <c r="K184" s="107"/>
    </row>
    <row r="185" ht="14.25" customHeight="1">
      <c r="A185" s="74">
        <v>1.0</v>
      </c>
      <c r="B185" s="75" t="s">
        <v>2221</v>
      </c>
      <c r="C185" s="99" t="s">
        <v>2222</v>
      </c>
      <c r="D185" s="99" t="s">
        <v>2223</v>
      </c>
      <c r="E185" s="99" t="s">
        <v>2224</v>
      </c>
      <c r="F185" s="130"/>
      <c r="G185" s="99" t="s">
        <v>2225</v>
      </c>
      <c r="H185" s="99" t="s">
        <v>2226</v>
      </c>
      <c r="I185" s="130"/>
      <c r="J185" s="88">
        <v>35.0</v>
      </c>
      <c r="K185" s="100" t="s">
        <v>2227</v>
      </c>
    </row>
    <row r="186" ht="14.25" customHeight="1">
      <c r="A186" s="77">
        <f t="shared" ref="A186:A225" si="27">A185+1</f>
        <v>2</v>
      </c>
      <c r="B186" s="11" t="s">
        <v>2221</v>
      </c>
      <c r="C186" s="103" t="s">
        <v>2228</v>
      </c>
      <c r="D186" s="103" t="s">
        <v>2229</v>
      </c>
      <c r="E186" s="103" t="s">
        <v>2230</v>
      </c>
      <c r="F186" s="132"/>
      <c r="G186" s="103" t="s">
        <v>2231</v>
      </c>
      <c r="H186" s="103" t="s">
        <v>2232</v>
      </c>
      <c r="I186" s="132"/>
      <c r="J186" s="133">
        <f t="shared" ref="J186:J235" si="28">J185+1</f>
        <v>36</v>
      </c>
      <c r="K186" s="104"/>
    </row>
    <row r="187" ht="14.25" customHeight="1">
      <c r="A187" s="77">
        <f t="shared" si="27"/>
        <v>3</v>
      </c>
      <c r="B187" s="11" t="s">
        <v>2221</v>
      </c>
      <c r="C187" s="103" t="s">
        <v>2233</v>
      </c>
      <c r="D187" s="103" t="s">
        <v>2234</v>
      </c>
      <c r="E187" s="103" t="s">
        <v>2235</v>
      </c>
      <c r="F187" s="132"/>
      <c r="G187" s="103" t="s">
        <v>2236</v>
      </c>
      <c r="H187" s="103" t="s">
        <v>2237</v>
      </c>
      <c r="I187" s="132"/>
      <c r="J187" s="133">
        <f t="shared" si="28"/>
        <v>37</v>
      </c>
      <c r="K187" s="104"/>
    </row>
    <row r="188" ht="14.25" customHeight="1">
      <c r="A188" s="77">
        <f t="shared" si="27"/>
        <v>4</v>
      </c>
      <c r="B188" s="11" t="s">
        <v>2221</v>
      </c>
      <c r="C188" s="103" t="s">
        <v>2238</v>
      </c>
      <c r="D188" s="103" t="s">
        <v>2239</v>
      </c>
      <c r="E188" s="103" t="s">
        <v>2240</v>
      </c>
      <c r="F188" s="132"/>
      <c r="G188" s="103" t="s">
        <v>2241</v>
      </c>
      <c r="H188" s="103" t="s">
        <v>2242</v>
      </c>
      <c r="I188" s="132"/>
      <c r="J188" s="133">
        <f t="shared" si="28"/>
        <v>38</v>
      </c>
      <c r="K188" s="104"/>
    </row>
    <row r="189" ht="14.25" customHeight="1">
      <c r="A189" s="77">
        <f t="shared" si="27"/>
        <v>5</v>
      </c>
      <c r="B189" s="11" t="s">
        <v>2221</v>
      </c>
      <c r="C189" s="103" t="s">
        <v>2243</v>
      </c>
      <c r="D189" s="103" t="s">
        <v>2244</v>
      </c>
      <c r="E189" s="103" t="s">
        <v>2245</v>
      </c>
      <c r="F189" s="132"/>
      <c r="G189" s="103" t="s">
        <v>2246</v>
      </c>
      <c r="H189" s="103" t="s">
        <v>2247</v>
      </c>
      <c r="I189" s="132"/>
      <c r="J189" s="133">
        <f t="shared" si="28"/>
        <v>39</v>
      </c>
      <c r="K189" s="104"/>
    </row>
    <row r="190" ht="14.25" customHeight="1">
      <c r="A190" s="77">
        <f t="shared" si="27"/>
        <v>6</v>
      </c>
      <c r="B190" s="11" t="s">
        <v>2221</v>
      </c>
      <c r="C190" s="103" t="s">
        <v>2248</v>
      </c>
      <c r="D190" s="103" t="s">
        <v>2249</v>
      </c>
      <c r="E190" s="103" t="s">
        <v>2250</v>
      </c>
      <c r="F190" s="132"/>
      <c r="G190" s="103" t="s">
        <v>2251</v>
      </c>
      <c r="H190" s="103" t="s">
        <v>2252</v>
      </c>
      <c r="I190" s="132"/>
      <c r="J190" s="133">
        <f t="shared" si="28"/>
        <v>40</v>
      </c>
      <c r="K190" s="104"/>
    </row>
    <row r="191" ht="14.25" customHeight="1">
      <c r="A191" s="77">
        <f t="shared" si="27"/>
        <v>7</v>
      </c>
      <c r="B191" s="11" t="s">
        <v>2221</v>
      </c>
      <c r="C191" s="103" t="s">
        <v>2253</v>
      </c>
      <c r="D191" s="103" t="s">
        <v>2254</v>
      </c>
      <c r="E191" s="103" t="s">
        <v>2255</v>
      </c>
      <c r="F191" s="132"/>
      <c r="G191" s="103" t="s">
        <v>2256</v>
      </c>
      <c r="H191" s="103" t="s">
        <v>2257</v>
      </c>
      <c r="I191" s="132"/>
      <c r="J191" s="133">
        <f t="shared" si="28"/>
        <v>41</v>
      </c>
      <c r="K191" s="104"/>
    </row>
    <row r="192" ht="14.25" customHeight="1">
      <c r="A192" s="77">
        <f t="shared" si="27"/>
        <v>8</v>
      </c>
      <c r="B192" s="11" t="s">
        <v>2221</v>
      </c>
      <c r="C192" s="103" t="s">
        <v>2258</v>
      </c>
      <c r="D192" s="103" t="s">
        <v>2259</v>
      </c>
      <c r="E192" s="103" t="s">
        <v>2260</v>
      </c>
      <c r="F192" s="132"/>
      <c r="G192" s="103" t="s">
        <v>2261</v>
      </c>
      <c r="H192" s="103" t="s">
        <v>2262</v>
      </c>
      <c r="I192" s="132"/>
      <c r="J192" s="133">
        <f t="shared" si="28"/>
        <v>42</v>
      </c>
      <c r="K192" s="104"/>
    </row>
    <row r="193" ht="14.25" customHeight="1">
      <c r="A193" s="77">
        <f t="shared" si="27"/>
        <v>9</v>
      </c>
      <c r="B193" s="11" t="s">
        <v>2221</v>
      </c>
      <c r="C193" s="103" t="s">
        <v>2263</v>
      </c>
      <c r="D193" s="103" t="s">
        <v>2264</v>
      </c>
      <c r="E193" s="103" t="s">
        <v>2265</v>
      </c>
      <c r="F193" s="132"/>
      <c r="G193" s="103" t="s">
        <v>2266</v>
      </c>
      <c r="H193" s="103" t="s">
        <v>2267</v>
      </c>
      <c r="I193" s="132"/>
      <c r="J193" s="133">
        <f t="shared" si="28"/>
        <v>43</v>
      </c>
      <c r="K193" s="104"/>
    </row>
    <row r="194" ht="14.25" customHeight="1">
      <c r="A194" s="77">
        <f t="shared" si="27"/>
        <v>10</v>
      </c>
      <c r="B194" s="11" t="s">
        <v>2221</v>
      </c>
      <c r="C194" s="103" t="s">
        <v>2268</v>
      </c>
      <c r="D194" s="103" t="s">
        <v>2269</v>
      </c>
      <c r="E194" s="103" t="s">
        <v>2270</v>
      </c>
      <c r="F194" s="132"/>
      <c r="G194" s="103" t="s">
        <v>2271</v>
      </c>
      <c r="H194" s="103" t="s">
        <v>2272</v>
      </c>
      <c r="I194" s="132"/>
      <c r="J194" s="133">
        <f t="shared" si="28"/>
        <v>44</v>
      </c>
      <c r="K194" s="104"/>
    </row>
    <row r="195" ht="14.25" customHeight="1">
      <c r="A195" s="77">
        <f t="shared" si="27"/>
        <v>11</v>
      </c>
      <c r="B195" s="11" t="s">
        <v>2221</v>
      </c>
      <c r="C195" s="103" t="s">
        <v>2273</v>
      </c>
      <c r="D195" s="103" t="s">
        <v>2274</v>
      </c>
      <c r="E195" s="103" t="s">
        <v>2275</v>
      </c>
      <c r="F195" s="132"/>
      <c r="G195" s="103" t="s">
        <v>2276</v>
      </c>
      <c r="H195" s="103" t="s">
        <v>2277</v>
      </c>
      <c r="I195" s="132"/>
      <c r="J195" s="133">
        <f t="shared" si="28"/>
        <v>45</v>
      </c>
      <c r="K195" s="104"/>
    </row>
    <row r="196" ht="14.25" customHeight="1">
      <c r="A196" s="77">
        <f t="shared" si="27"/>
        <v>12</v>
      </c>
      <c r="B196" s="11" t="s">
        <v>2221</v>
      </c>
      <c r="C196" s="103" t="s">
        <v>2278</v>
      </c>
      <c r="D196" s="103" t="s">
        <v>2279</v>
      </c>
      <c r="E196" s="103" t="s">
        <v>2280</v>
      </c>
      <c r="F196" s="132"/>
      <c r="G196" s="103" t="s">
        <v>2281</v>
      </c>
      <c r="H196" s="103" t="s">
        <v>2282</v>
      </c>
      <c r="I196" s="132"/>
      <c r="J196" s="133">
        <f t="shared" si="28"/>
        <v>46</v>
      </c>
      <c r="K196" s="104"/>
    </row>
    <row r="197" ht="14.25" customHeight="1">
      <c r="A197" s="77">
        <f t="shared" si="27"/>
        <v>13</v>
      </c>
      <c r="B197" s="11" t="s">
        <v>2221</v>
      </c>
      <c r="C197" s="103" t="s">
        <v>2283</v>
      </c>
      <c r="D197" s="103" t="s">
        <v>2284</v>
      </c>
      <c r="E197" s="103" t="s">
        <v>2285</v>
      </c>
      <c r="F197" s="132"/>
      <c r="G197" s="103" t="s">
        <v>2286</v>
      </c>
      <c r="H197" s="103" t="s">
        <v>2287</v>
      </c>
      <c r="I197" s="132"/>
      <c r="J197" s="133">
        <f t="shared" si="28"/>
        <v>47</v>
      </c>
      <c r="K197" s="104"/>
    </row>
    <row r="198" ht="14.25" customHeight="1">
      <c r="A198" s="77">
        <f t="shared" si="27"/>
        <v>14</v>
      </c>
      <c r="B198" s="11" t="s">
        <v>2221</v>
      </c>
      <c r="C198" s="103" t="s">
        <v>2288</v>
      </c>
      <c r="D198" s="103" t="s">
        <v>2289</v>
      </c>
      <c r="E198" s="103" t="s">
        <v>2290</v>
      </c>
      <c r="F198" s="132"/>
      <c r="G198" s="103" t="s">
        <v>2291</v>
      </c>
      <c r="H198" s="103" t="s">
        <v>2292</v>
      </c>
      <c r="I198" s="132"/>
      <c r="J198" s="133">
        <f t="shared" si="28"/>
        <v>48</v>
      </c>
      <c r="K198" s="104"/>
    </row>
    <row r="199" ht="14.25" customHeight="1">
      <c r="A199" s="77">
        <f t="shared" si="27"/>
        <v>15</v>
      </c>
      <c r="B199" s="11" t="s">
        <v>2221</v>
      </c>
      <c r="C199" s="103" t="s">
        <v>2293</v>
      </c>
      <c r="D199" s="103" t="s">
        <v>2294</v>
      </c>
      <c r="E199" s="103" t="s">
        <v>2295</v>
      </c>
      <c r="F199" s="132"/>
      <c r="G199" s="103" t="s">
        <v>2296</v>
      </c>
      <c r="H199" s="103" t="s">
        <v>2297</v>
      </c>
      <c r="I199" s="132"/>
      <c r="J199" s="133">
        <f t="shared" si="28"/>
        <v>49</v>
      </c>
      <c r="K199" s="104"/>
    </row>
    <row r="200" ht="14.25" customHeight="1">
      <c r="A200" s="77">
        <f t="shared" si="27"/>
        <v>16</v>
      </c>
      <c r="B200" s="11" t="s">
        <v>2221</v>
      </c>
      <c r="C200" s="103" t="s">
        <v>2298</v>
      </c>
      <c r="D200" s="103" t="s">
        <v>2299</v>
      </c>
      <c r="E200" s="103" t="s">
        <v>2300</v>
      </c>
      <c r="F200" s="132"/>
      <c r="G200" s="103" t="s">
        <v>2301</v>
      </c>
      <c r="H200" s="103" t="s">
        <v>2302</v>
      </c>
      <c r="I200" s="132"/>
      <c r="J200" s="133">
        <f t="shared" si="28"/>
        <v>50</v>
      </c>
      <c r="K200" s="104"/>
    </row>
    <row r="201" ht="14.25" customHeight="1">
      <c r="A201" s="77">
        <f t="shared" si="27"/>
        <v>17</v>
      </c>
      <c r="B201" s="11" t="s">
        <v>2221</v>
      </c>
      <c r="C201" s="103" t="s">
        <v>2303</v>
      </c>
      <c r="D201" s="103" t="s">
        <v>2304</v>
      </c>
      <c r="E201" s="103" t="s">
        <v>2305</v>
      </c>
      <c r="F201" s="132"/>
      <c r="G201" s="103" t="s">
        <v>2306</v>
      </c>
      <c r="H201" s="103" t="s">
        <v>2307</v>
      </c>
      <c r="I201" s="132"/>
      <c r="J201" s="133">
        <f t="shared" si="28"/>
        <v>51</v>
      </c>
      <c r="K201" s="104"/>
    </row>
    <row r="202" ht="14.25" customHeight="1">
      <c r="A202" s="77">
        <f t="shared" si="27"/>
        <v>18</v>
      </c>
      <c r="B202" s="11" t="s">
        <v>2221</v>
      </c>
      <c r="C202" s="103" t="s">
        <v>2308</v>
      </c>
      <c r="D202" s="103" t="s">
        <v>2309</v>
      </c>
      <c r="E202" s="103" t="s">
        <v>2310</v>
      </c>
      <c r="F202" s="132"/>
      <c r="G202" s="103" t="s">
        <v>2311</v>
      </c>
      <c r="H202" s="103" t="s">
        <v>2312</v>
      </c>
      <c r="I202" s="132"/>
      <c r="J202" s="133">
        <f t="shared" si="28"/>
        <v>52</v>
      </c>
      <c r="K202" s="104"/>
    </row>
    <row r="203" ht="14.25" customHeight="1">
      <c r="A203" s="77">
        <f t="shared" si="27"/>
        <v>19</v>
      </c>
      <c r="B203" s="11" t="s">
        <v>2221</v>
      </c>
      <c r="C203" s="103" t="s">
        <v>2313</v>
      </c>
      <c r="D203" s="103" t="s">
        <v>2314</v>
      </c>
      <c r="E203" s="103" t="s">
        <v>2315</v>
      </c>
      <c r="F203" s="132"/>
      <c r="G203" s="103" t="s">
        <v>2316</v>
      </c>
      <c r="H203" s="103" t="s">
        <v>2317</v>
      </c>
      <c r="I203" s="132"/>
      <c r="J203" s="133">
        <f t="shared" si="28"/>
        <v>53</v>
      </c>
      <c r="K203" s="104"/>
    </row>
    <row r="204" ht="14.25" customHeight="1">
      <c r="A204" s="77">
        <f t="shared" si="27"/>
        <v>20</v>
      </c>
      <c r="B204" s="11" t="s">
        <v>2221</v>
      </c>
      <c r="C204" s="103" t="s">
        <v>2318</v>
      </c>
      <c r="D204" s="103" t="s">
        <v>2319</v>
      </c>
      <c r="E204" s="103" t="s">
        <v>2320</v>
      </c>
      <c r="F204" s="132"/>
      <c r="G204" s="103" t="s">
        <v>2321</v>
      </c>
      <c r="H204" s="103" t="s">
        <v>2322</v>
      </c>
      <c r="I204" s="132"/>
      <c r="J204" s="133">
        <f t="shared" si="28"/>
        <v>54</v>
      </c>
      <c r="K204" s="104" t="s">
        <v>2323</v>
      </c>
    </row>
    <row r="205" ht="14.25" customHeight="1">
      <c r="A205" s="77">
        <f t="shared" si="27"/>
        <v>21</v>
      </c>
      <c r="B205" s="11" t="s">
        <v>2221</v>
      </c>
      <c r="C205" s="103" t="s">
        <v>2324</v>
      </c>
      <c r="D205" s="103" t="s">
        <v>2325</v>
      </c>
      <c r="E205" s="103" t="s">
        <v>2326</v>
      </c>
      <c r="F205" s="132"/>
      <c r="G205" s="103" t="s">
        <v>2327</v>
      </c>
      <c r="H205" s="103" t="s">
        <v>2328</v>
      </c>
      <c r="I205" s="132"/>
      <c r="J205" s="133">
        <f t="shared" si="28"/>
        <v>55</v>
      </c>
      <c r="K205" s="104"/>
    </row>
    <row r="206" ht="14.25" customHeight="1">
      <c r="A206" s="77">
        <f t="shared" si="27"/>
        <v>22</v>
      </c>
      <c r="B206" s="11" t="s">
        <v>2221</v>
      </c>
      <c r="C206" s="103" t="s">
        <v>2329</v>
      </c>
      <c r="D206" s="103" t="s">
        <v>2330</v>
      </c>
      <c r="E206" s="103" t="s">
        <v>2331</v>
      </c>
      <c r="F206" s="132"/>
      <c r="G206" s="103" t="s">
        <v>2332</v>
      </c>
      <c r="H206" s="103" t="s">
        <v>2333</v>
      </c>
      <c r="I206" s="132"/>
      <c r="J206" s="133">
        <f t="shared" si="28"/>
        <v>56</v>
      </c>
      <c r="K206" s="104" t="s">
        <v>2334</v>
      </c>
    </row>
    <row r="207" ht="14.25" customHeight="1">
      <c r="A207" s="77">
        <f t="shared" si="27"/>
        <v>23</v>
      </c>
      <c r="B207" s="11" t="s">
        <v>2221</v>
      </c>
      <c r="C207" s="103" t="s">
        <v>2335</v>
      </c>
      <c r="D207" s="103" t="s">
        <v>2336</v>
      </c>
      <c r="E207" s="103" t="s">
        <v>2337</v>
      </c>
      <c r="F207" s="132"/>
      <c r="G207" s="103" t="s">
        <v>2338</v>
      </c>
      <c r="H207" s="103" t="s">
        <v>2339</v>
      </c>
      <c r="I207" s="132"/>
      <c r="J207" s="133">
        <f t="shared" si="28"/>
        <v>57</v>
      </c>
      <c r="K207" s="104"/>
    </row>
    <row r="208" ht="14.25" customHeight="1">
      <c r="A208" s="77">
        <f t="shared" si="27"/>
        <v>24</v>
      </c>
      <c r="B208" s="11" t="s">
        <v>2221</v>
      </c>
      <c r="C208" s="103" t="s">
        <v>2340</v>
      </c>
      <c r="D208" s="103" t="s">
        <v>2341</v>
      </c>
      <c r="E208" s="103" t="s">
        <v>2342</v>
      </c>
      <c r="F208" s="132"/>
      <c r="G208" s="103" t="s">
        <v>2343</v>
      </c>
      <c r="H208" s="103" t="s">
        <v>2344</v>
      </c>
      <c r="I208" s="132"/>
      <c r="J208" s="133">
        <f t="shared" si="28"/>
        <v>58</v>
      </c>
      <c r="K208" s="104"/>
    </row>
    <row r="209" ht="14.25" customHeight="1">
      <c r="A209" s="77">
        <f t="shared" si="27"/>
        <v>25</v>
      </c>
      <c r="B209" s="11" t="s">
        <v>2221</v>
      </c>
      <c r="C209" s="103" t="s">
        <v>2345</v>
      </c>
      <c r="D209" s="103" t="s">
        <v>2346</v>
      </c>
      <c r="E209" s="103" t="s">
        <v>2347</v>
      </c>
      <c r="F209" s="132"/>
      <c r="G209" s="103" t="s">
        <v>2348</v>
      </c>
      <c r="H209" s="103" t="s">
        <v>2349</v>
      </c>
      <c r="I209" s="132"/>
      <c r="J209" s="133">
        <f t="shared" si="28"/>
        <v>59</v>
      </c>
      <c r="K209" s="104"/>
    </row>
    <row r="210" ht="14.25" customHeight="1">
      <c r="A210" s="77">
        <f t="shared" si="27"/>
        <v>26</v>
      </c>
      <c r="B210" s="11" t="s">
        <v>2221</v>
      </c>
      <c r="C210" s="103" t="s">
        <v>2350</v>
      </c>
      <c r="D210" s="103" t="s">
        <v>2351</v>
      </c>
      <c r="E210" s="103" t="s">
        <v>2352</v>
      </c>
      <c r="F210" s="132"/>
      <c r="G210" s="103" t="s">
        <v>2353</v>
      </c>
      <c r="H210" s="103" t="s">
        <v>2354</v>
      </c>
      <c r="I210" s="132"/>
      <c r="J210" s="133">
        <f t="shared" si="28"/>
        <v>60</v>
      </c>
      <c r="K210" s="104"/>
    </row>
    <row r="211" ht="14.25" customHeight="1">
      <c r="A211" s="77">
        <f t="shared" si="27"/>
        <v>27</v>
      </c>
      <c r="B211" s="11" t="s">
        <v>2221</v>
      </c>
      <c r="C211" s="103" t="s">
        <v>2355</v>
      </c>
      <c r="D211" s="103" t="s">
        <v>2356</v>
      </c>
      <c r="E211" s="103" t="s">
        <v>2357</v>
      </c>
      <c r="F211" s="132"/>
      <c r="G211" s="103" t="s">
        <v>2358</v>
      </c>
      <c r="H211" s="103" t="s">
        <v>2359</v>
      </c>
      <c r="I211" s="132"/>
      <c r="J211" s="133">
        <f t="shared" si="28"/>
        <v>61</v>
      </c>
      <c r="K211" s="104" t="s">
        <v>2360</v>
      </c>
    </row>
    <row r="212" ht="14.25" customHeight="1">
      <c r="A212" s="77">
        <f t="shared" si="27"/>
        <v>28</v>
      </c>
      <c r="B212" s="11" t="s">
        <v>2221</v>
      </c>
      <c r="C212" s="103" t="s">
        <v>2361</v>
      </c>
      <c r="D212" s="103" t="s">
        <v>2362</v>
      </c>
      <c r="E212" s="103" t="s">
        <v>2363</v>
      </c>
      <c r="F212" s="132"/>
      <c r="G212" s="103" t="s">
        <v>2364</v>
      </c>
      <c r="H212" s="103" t="s">
        <v>2365</v>
      </c>
      <c r="I212" s="132"/>
      <c r="J212" s="133">
        <f t="shared" si="28"/>
        <v>62</v>
      </c>
      <c r="K212" s="104"/>
    </row>
    <row r="213" ht="14.25" customHeight="1">
      <c r="A213" s="77">
        <f t="shared" si="27"/>
        <v>29</v>
      </c>
      <c r="B213" s="11" t="s">
        <v>2221</v>
      </c>
      <c r="C213" s="103" t="s">
        <v>2366</v>
      </c>
      <c r="D213" s="103" t="s">
        <v>2367</v>
      </c>
      <c r="E213" s="103" t="s">
        <v>2368</v>
      </c>
      <c r="F213" s="132"/>
      <c r="G213" s="103" t="s">
        <v>2369</v>
      </c>
      <c r="H213" s="103" t="s">
        <v>2370</v>
      </c>
      <c r="I213" s="132"/>
      <c r="J213" s="133">
        <f t="shared" si="28"/>
        <v>63</v>
      </c>
      <c r="K213" s="104" t="s">
        <v>2371</v>
      </c>
    </row>
    <row r="214" ht="14.25" customHeight="1">
      <c r="A214" s="77">
        <f t="shared" si="27"/>
        <v>30</v>
      </c>
      <c r="B214" s="11" t="s">
        <v>2221</v>
      </c>
      <c r="C214" s="103" t="s">
        <v>2372</v>
      </c>
      <c r="D214" s="103" t="s">
        <v>2373</v>
      </c>
      <c r="E214" s="103" t="s">
        <v>2374</v>
      </c>
      <c r="F214" s="132"/>
      <c r="G214" s="103" t="s">
        <v>2375</v>
      </c>
      <c r="H214" s="103" t="s">
        <v>2376</v>
      </c>
      <c r="I214" s="132"/>
      <c r="J214" s="133">
        <f t="shared" si="28"/>
        <v>64</v>
      </c>
      <c r="K214" s="104"/>
    </row>
    <row r="215" ht="14.25" customHeight="1">
      <c r="A215" s="77">
        <f t="shared" si="27"/>
        <v>31</v>
      </c>
      <c r="B215" s="11" t="s">
        <v>2221</v>
      </c>
      <c r="C215" s="103" t="s">
        <v>2377</v>
      </c>
      <c r="D215" s="103" t="s">
        <v>2378</v>
      </c>
      <c r="E215" s="103" t="s">
        <v>2379</v>
      </c>
      <c r="F215" s="132"/>
      <c r="G215" s="103" t="s">
        <v>2380</v>
      </c>
      <c r="H215" s="103" t="s">
        <v>2381</v>
      </c>
      <c r="I215" s="132"/>
      <c r="J215" s="133">
        <f t="shared" si="28"/>
        <v>65</v>
      </c>
      <c r="K215" s="104"/>
    </row>
    <row r="216" ht="14.25" customHeight="1">
      <c r="A216" s="77">
        <f t="shared" si="27"/>
        <v>32</v>
      </c>
      <c r="B216" s="11" t="s">
        <v>2221</v>
      </c>
      <c r="C216" s="103" t="s">
        <v>2382</v>
      </c>
      <c r="D216" s="103" t="s">
        <v>2383</v>
      </c>
      <c r="E216" s="103" t="s">
        <v>2384</v>
      </c>
      <c r="F216" s="132"/>
      <c r="G216" s="103" t="s">
        <v>2385</v>
      </c>
      <c r="H216" s="103" t="s">
        <v>2386</v>
      </c>
      <c r="I216" s="132"/>
      <c r="J216" s="133">
        <f t="shared" si="28"/>
        <v>66</v>
      </c>
      <c r="K216" s="104"/>
    </row>
    <row r="217" ht="14.25" customHeight="1">
      <c r="A217" s="77">
        <f t="shared" si="27"/>
        <v>33</v>
      </c>
      <c r="B217" s="11" t="s">
        <v>2221</v>
      </c>
      <c r="C217" s="103" t="s">
        <v>2387</v>
      </c>
      <c r="D217" s="103" t="s">
        <v>2388</v>
      </c>
      <c r="E217" s="103" t="s">
        <v>2389</v>
      </c>
      <c r="F217" s="132"/>
      <c r="G217" s="103" t="s">
        <v>2390</v>
      </c>
      <c r="H217" s="103" t="s">
        <v>2391</v>
      </c>
      <c r="I217" s="132"/>
      <c r="J217" s="133">
        <f t="shared" si="28"/>
        <v>67</v>
      </c>
      <c r="K217" s="104"/>
    </row>
    <row r="218" ht="14.25" customHeight="1">
      <c r="A218" s="77">
        <f t="shared" si="27"/>
        <v>34</v>
      </c>
      <c r="B218" s="11" t="s">
        <v>2221</v>
      </c>
      <c r="C218" s="103" t="s">
        <v>2392</v>
      </c>
      <c r="D218" s="103" t="s">
        <v>2393</v>
      </c>
      <c r="E218" s="103" t="s">
        <v>2394</v>
      </c>
      <c r="F218" s="132"/>
      <c r="G218" s="103" t="s">
        <v>2395</v>
      </c>
      <c r="H218" s="103" t="s">
        <v>2396</v>
      </c>
      <c r="I218" s="132"/>
      <c r="J218" s="133">
        <f t="shared" si="28"/>
        <v>68</v>
      </c>
      <c r="K218" s="104"/>
    </row>
    <row r="219" ht="14.25" customHeight="1">
      <c r="A219" s="77">
        <f t="shared" si="27"/>
        <v>35</v>
      </c>
      <c r="B219" s="11" t="s">
        <v>2221</v>
      </c>
      <c r="C219" s="103" t="s">
        <v>2397</v>
      </c>
      <c r="D219" s="103" t="s">
        <v>2398</v>
      </c>
      <c r="E219" s="103" t="s">
        <v>2399</v>
      </c>
      <c r="F219" s="132"/>
      <c r="G219" s="103" t="s">
        <v>2400</v>
      </c>
      <c r="H219" s="103" t="s">
        <v>2401</v>
      </c>
      <c r="I219" s="132"/>
      <c r="J219" s="133">
        <f t="shared" si="28"/>
        <v>69</v>
      </c>
      <c r="K219" s="104"/>
    </row>
    <row r="220" ht="14.25" customHeight="1">
      <c r="A220" s="77">
        <f t="shared" si="27"/>
        <v>36</v>
      </c>
      <c r="B220" s="11" t="s">
        <v>2221</v>
      </c>
      <c r="C220" s="103" t="s">
        <v>2402</v>
      </c>
      <c r="D220" s="103" t="s">
        <v>2403</v>
      </c>
      <c r="E220" s="103" t="s">
        <v>2404</v>
      </c>
      <c r="F220" s="132"/>
      <c r="G220" s="93" t="s">
        <v>2405</v>
      </c>
      <c r="H220" s="103" t="s">
        <v>2406</v>
      </c>
      <c r="I220" s="132"/>
      <c r="J220" s="133">
        <f t="shared" si="28"/>
        <v>70</v>
      </c>
      <c r="K220" s="104"/>
    </row>
    <row r="221" ht="14.25" customHeight="1">
      <c r="A221" s="77">
        <f t="shared" si="27"/>
        <v>37</v>
      </c>
      <c r="B221" s="11" t="s">
        <v>2221</v>
      </c>
      <c r="C221" s="103" t="s">
        <v>2407</v>
      </c>
      <c r="D221" s="103" t="s">
        <v>2408</v>
      </c>
      <c r="E221" s="103" t="s">
        <v>2409</v>
      </c>
      <c r="F221" s="132"/>
      <c r="G221" s="103" t="s">
        <v>2410</v>
      </c>
      <c r="H221" s="103" t="s">
        <v>2411</v>
      </c>
      <c r="I221" s="132"/>
      <c r="J221" s="133">
        <f t="shared" si="28"/>
        <v>71</v>
      </c>
      <c r="K221" s="104"/>
    </row>
    <row r="222" ht="14.25" customHeight="1">
      <c r="A222" s="77">
        <f t="shared" si="27"/>
        <v>38</v>
      </c>
      <c r="B222" s="11" t="s">
        <v>2221</v>
      </c>
      <c r="C222" s="103" t="s">
        <v>2412</v>
      </c>
      <c r="D222" s="103" t="s">
        <v>2413</v>
      </c>
      <c r="E222" s="103" t="s">
        <v>2414</v>
      </c>
      <c r="F222" s="132"/>
      <c r="G222" s="103" t="s">
        <v>2415</v>
      </c>
      <c r="H222" s="103" t="s">
        <v>2416</v>
      </c>
      <c r="I222" s="132"/>
      <c r="J222" s="133">
        <f t="shared" si="28"/>
        <v>72</v>
      </c>
      <c r="K222" s="104"/>
    </row>
    <row r="223" ht="14.25" customHeight="1">
      <c r="A223" s="77">
        <f t="shared" si="27"/>
        <v>39</v>
      </c>
      <c r="B223" s="11" t="s">
        <v>2221</v>
      </c>
      <c r="C223" s="103" t="s">
        <v>2417</v>
      </c>
      <c r="D223" s="103" t="s">
        <v>2418</v>
      </c>
      <c r="E223" s="103" t="s">
        <v>2419</v>
      </c>
      <c r="F223" s="132"/>
      <c r="G223" s="103" t="s">
        <v>2420</v>
      </c>
      <c r="H223" s="103" t="s">
        <v>2421</v>
      </c>
      <c r="I223" s="132"/>
      <c r="J223" s="133">
        <f t="shared" si="28"/>
        <v>73</v>
      </c>
      <c r="K223" s="104"/>
    </row>
    <row r="224" ht="14.25" customHeight="1">
      <c r="A224" s="77">
        <f t="shared" si="27"/>
        <v>40</v>
      </c>
      <c r="B224" s="11" t="s">
        <v>2221</v>
      </c>
      <c r="C224" s="103" t="s">
        <v>2422</v>
      </c>
      <c r="D224" s="103" t="s">
        <v>2423</v>
      </c>
      <c r="E224" s="103" t="s">
        <v>2424</v>
      </c>
      <c r="F224" s="132"/>
      <c r="G224" s="103" t="s">
        <v>2425</v>
      </c>
      <c r="H224" s="103" t="s">
        <v>2426</v>
      </c>
      <c r="I224" s="132"/>
      <c r="J224" s="133">
        <f t="shared" si="28"/>
        <v>74</v>
      </c>
      <c r="K224" s="104"/>
    </row>
    <row r="225" ht="14.25" customHeight="1">
      <c r="A225" s="86">
        <f t="shared" si="27"/>
        <v>41</v>
      </c>
      <c r="B225" s="126" t="s">
        <v>2221</v>
      </c>
      <c r="C225" s="106" t="s">
        <v>2427</v>
      </c>
      <c r="D225" s="106" t="s">
        <v>2428</v>
      </c>
      <c r="E225" s="106" t="s">
        <v>2429</v>
      </c>
      <c r="F225" s="135"/>
      <c r="G225" s="106" t="s">
        <v>2430</v>
      </c>
      <c r="H225" s="106" t="s">
        <v>2431</v>
      </c>
      <c r="I225" s="135"/>
      <c r="J225" s="136">
        <f t="shared" si="28"/>
        <v>75</v>
      </c>
      <c r="K225" s="107"/>
    </row>
    <row r="226" ht="14.25" customHeight="1">
      <c r="A226" s="74">
        <v>1.0</v>
      </c>
      <c r="B226" s="75" t="s">
        <v>2432</v>
      </c>
      <c r="C226" s="99" t="s">
        <v>2433</v>
      </c>
      <c r="D226" s="99" t="s">
        <v>2434</v>
      </c>
      <c r="E226" s="99" t="s">
        <v>2435</v>
      </c>
      <c r="F226" s="130"/>
      <c r="G226" s="99" t="s">
        <v>2436</v>
      </c>
      <c r="H226" s="99" t="s">
        <v>2437</v>
      </c>
      <c r="I226" s="130"/>
      <c r="J226" s="88">
        <f t="shared" si="28"/>
        <v>76</v>
      </c>
      <c r="K226" s="100"/>
    </row>
    <row r="227" ht="14.25" customHeight="1">
      <c r="A227" s="77">
        <f t="shared" ref="A227:A235" si="29">A226+1</f>
        <v>2</v>
      </c>
      <c r="B227" s="11" t="s">
        <v>2432</v>
      </c>
      <c r="C227" s="103" t="s">
        <v>2438</v>
      </c>
      <c r="D227" s="103" t="s">
        <v>2439</v>
      </c>
      <c r="E227" s="103" t="s">
        <v>2440</v>
      </c>
      <c r="F227" s="132"/>
      <c r="G227" s="103" t="s">
        <v>2441</v>
      </c>
      <c r="H227" s="103" t="s">
        <v>2442</v>
      </c>
      <c r="I227" s="132"/>
      <c r="J227" s="133">
        <f t="shared" si="28"/>
        <v>77</v>
      </c>
      <c r="K227" s="104"/>
    </row>
    <row r="228" ht="14.25" customHeight="1">
      <c r="A228" s="77">
        <f t="shared" si="29"/>
        <v>3</v>
      </c>
      <c r="B228" s="11" t="s">
        <v>2432</v>
      </c>
      <c r="C228" s="103" t="s">
        <v>2443</v>
      </c>
      <c r="D228" s="103" t="s">
        <v>2444</v>
      </c>
      <c r="E228" s="103" t="s">
        <v>2445</v>
      </c>
      <c r="F228" s="132"/>
      <c r="G228" s="103" t="s">
        <v>2446</v>
      </c>
      <c r="H228" s="103" t="s">
        <v>2447</v>
      </c>
      <c r="I228" s="132"/>
      <c r="J228" s="133">
        <f t="shared" si="28"/>
        <v>78</v>
      </c>
      <c r="K228" s="104"/>
    </row>
    <row r="229" ht="14.25" customHeight="1">
      <c r="A229" s="77">
        <f t="shared" si="29"/>
        <v>4</v>
      </c>
      <c r="B229" s="11" t="s">
        <v>2432</v>
      </c>
      <c r="C229" s="103" t="s">
        <v>2448</v>
      </c>
      <c r="D229" s="103" t="s">
        <v>2449</v>
      </c>
      <c r="E229" s="103" t="s">
        <v>2450</v>
      </c>
      <c r="F229" s="132"/>
      <c r="G229" s="103" t="s">
        <v>2451</v>
      </c>
      <c r="H229" s="103" t="s">
        <v>2452</v>
      </c>
      <c r="I229" s="132"/>
      <c r="J229" s="133">
        <f t="shared" si="28"/>
        <v>79</v>
      </c>
      <c r="K229" s="104"/>
    </row>
    <row r="230" ht="14.25" customHeight="1">
      <c r="A230" s="77">
        <f t="shared" si="29"/>
        <v>5</v>
      </c>
      <c r="B230" s="11" t="s">
        <v>2432</v>
      </c>
      <c r="C230" s="103" t="s">
        <v>2453</v>
      </c>
      <c r="D230" s="103" t="s">
        <v>2454</v>
      </c>
      <c r="E230" s="103" t="s">
        <v>2455</v>
      </c>
      <c r="F230" s="132"/>
      <c r="G230" s="103" t="s">
        <v>2456</v>
      </c>
      <c r="H230" s="103" t="s">
        <v>2457</v>
      </c>
      <c r="I230" s="132"/>
      <c r="J230" s="133">
        <f t="shared" si="28"/>
        <v>80</v>
      </c>
      <c r="K230" s="104"/>
    </row>
    <row r="231" ht="14.25" customHeight="1">
      <c r="A231" s="77">
        <f t="shared" si="29"/>
        <v>6</v>
      </c>
      <c r="B231" s="11" t="s">
        <v>2432</v>
      </c>
      <c r="C231" s="103" t="s">
        <v>2458</v>
      </c>
      <c r="D231" s="103" t="s">
        <v>2459</v>
      </c>
      <c r="E231" s="103" t="s">
        <v>2460</v>
      </c>
      <c r="F231" s="132"/>
      <c r="G231" s="103" t="s">
        <v>2461</v>
      </c>
      <c r="H231" s="103" t="s">
        <v>2462</v>
      </c>
      <c r="I231" s="132"/>
      <c r="J231" s="133">
        <f t="shared" si="28"/>
        <v>81</v>
      </c>
      <c r="K231" s="104"/>
    </row>
    <row r="232" ht="14.25" customHeight="1">
      <c r="A232" s="77">
        <f t="shared" si="29"/>
        <v>7</v>
      </c>
      <c r="B232" s="11" t="s">
        <v>2432</v>
      </c>
      <c r="C232" s="103" t="s">
        <v>2463</v>
      </c>
      <c r="D232" s="103" t="s">
        <v>2464</v>
      </c>
      <c r="E232" s="103" t="s">
        <v>2465</v>
      </c>
      <c r="F232" s="132"/>
      <c r="G232" s="103" t="s">
        <v>2466</v>
      </c>
      <c r="H232" s="103" t="s">
        <v>2467</v>
      </c>
      <c r="I232" s="132"/>
      <c r="J232" s="133">
        <f t="shared" si="28"/>
        <v>82</v>
      </c>
      <c r="K232" s="104"/>
    </row>
    <row r="233" ht="14.25" customHeight="1">
      <c r="A233" s="77">
        <f t="shared" si="29"/>
        <v>8</v>
      </c>
      <c r="B233" s="11" t="s">
        <v>2432</v>
      </c>
      <c r="C233" s="103" t="s">
        <v>2468</v>
      </c>
      <c r="D233" s="103" t="s">
        <v>2469</v>
      </c>
      <c r="E233" s="103" t="s">
        <v>2470</v>
      </c>
      <c r="F233" s="132"/>
      <c r="G233" s="103" t="s">
        <v>2471</v>
      </c>
      <c r="H233" s="103" t="s">
        <v>2472</v>
      </c>
      <c r="I233" s="132"/>
      <c r="J233" s="133">
        <f t="shared" si="28"/>
        <v>83</v>
      </c>
      <c r="K233" s="104"/>
    </row>
    <row r="234" ht="14.25" customHeight="1">
      <c r="A234" s="77">
        <f t="shared" si="29"/>
        <v>9</v>
      </c>
      <c r="B234" s="11" t="s">
        <v>2432</v>
      </c>
      <c r="C234" s="103" t="s">
        <v>2473</v>
      </c>
      <c r="D234" s="103" t="s">
        <v>2474</v>
      </c>
      <c r="E234" s="103" t="s">
        <v>2475</v>
      </c>
      <c r="F234" s="132"/>
      <c r="G234" s="103" t="s">
        <v>2476</v>
      </c>
      <c r="H234" s="103" t="s">
        <v>2477</v>
      </c>
      <c r="I234" s="132"/>
      <c r="J234" s="133">
        <f t="shared" si="28"/>
        <v>84</v>
      </c>
      <c r="K234" s="104"/>
    </row>
    <row r="235" ht="14.25" customHeight="1">
      <c r="A235" s="86">
        <f t="shared" si="29"/>
        <v>10</v>
      </c>
      <c r="B235" s="126" t="s">
        <v>2432</v>
      </c>
      <c r="C235" s="106" t="s">
        <v>2478</v>
      </c>
      <c r="D235" s="106" t="s">
        <v>2479</v>
      </c>
      <c r="E235" s="106" t="s">
        <v>2480</v>
      </c>
      <c r="F235" s="135"/>
      <c r="G235" s="106" t="s">
        <v>2481</v>
      </c>
      <c r="H235" s="106" t="s">
        <v>2482</v>
      </c>
      <c r="I235" s="135"/>
      <c r="J235" s="136">
        <f t="shared" si="28"/>
        <v>85</v>
      </c>
      <c r="K235" s="107"/>
    </row>
    <row r="236" ht="14.25" customHeight="1">
      <c r="A236" s="74">
        <v>1.0</v>
      </c>
      <c r="B236" s="75" t="s">
        <v>2483</v>
      </c>
      <c r="C236" s="99" t="s">
        <v>2484</v>
      </c>
      <c r="D236" s="99" t="s">
        <v>2485</v>
      </c>
      <c r="E236" s="99" t="s">
        <v>2486</v>
      </c>
      <c r="F236" s="130"/>
      <c r="G236" s="99" t="s">
        <v>2487</v>
      </c>
      <c r="H236" s="99" t="s">
        <v>2488</v>
      </c>
      <c r="I236" s="130"/>
      <c r="J236" s="88">
        <v>324.0</v>
      </c>
      <c r="K236" s="100" t="s">
        <v>2489</v>
      </c>
    </row>
    <row r="237" ht="14.25" customHeight="1">
      <c r="A237" s="77">
        <f t="shared" ref="A237:A262" si="30">A236+1</f>
        <v>2</v>
      </c>
      <c r="B237" s="2" t="s">
        <v>2483</v>
      </c>
      <c r="C237" s="103" t="s">
        <v>2490</v>
      </c>
      <c r="D237" s="103" t="s">
        <v>2491</v>
      </c>
      <c r="E237" s="103" t="s">
        <v>2492</v>
      </c>
      <c r="F237" s="132"/>
      <c r="G237" s="103" t="s">
        <v>2493</v>
      </c>
      <c r="H237" s="103" t="s">
        <v>2494</v>
      </c>
      <c r="I237" s="132"/>
      <c r="J237" s="133">
        <f t="shared" ref="J237:J242" si="31">J236+1</f>
        <v>325</v>
      </c>
      <c r="K237" s="104"/>
    </row>
    <row r="238" ht="14.25" customHeight="1">
      <c r="A238" s="77">
        <f t="shared" si="30"/>
        <v>3</v>
      </c>
      <c r="B238" s="2" t="s">
        <v>2483</v>
      </c>
      <c r="C238" s="103" t="s">
        <v>2495</v>
      </c>
      <c r="D238" s="103" t="s">
        <v>2496</v>
      </c>
      <c r="E238" s="103" t="s">
        <v>2497</v>
      </c>
      <c r="F238" s="132"/>
      <c r="G238" s="103" t="s">
        <v>2498</v>
      </c>
      <c r="H238" s="103" t="s">
        <v>2499</v>
      </c>
      <c r="I238" s="132"/>
      <c r="J238" s="133">
        <f t="shared" si="31"/>
        <v>326</v>
      </c>
      <c r="K238" s="104"/>
    </row>
    <row r="239" ht="14.25" customHeight="1">
      <c r="A239" s="77">
        <f t="shared" si="30"/>
        <v>4</v>
      </c>
      <c r="B239" s="2" t="s">
        <v>2483</v>
      </c>
      <c r="C239" s="103" t="s">
        <v>2500</v>
      </c>
      <c r="D239" s="103" t="s">
        <v>2501</v>
      </c>
      <c r="E239" s="103" t="s">
        <v>2502</v>
      </c>
      <c r="F239" s="132"/>
      <c r="G239" s="103" t="s">
        <v>2503</v>
      </c>
      <c r="H239" s="103" t="s">
        <v>2504</v>
      </c>
      <c r="I239" s="132"/>
      <c r="J239" s="133">
        <f t="shared" si="31"/>
        <v>327</v>
      </c>
      <c r="K239" s="104"/>
    </row>
    <row r="240" ht="14.25" customHeight="1">
      <c r="A240" s="77">
        <f t="shared" si="30"/>
        <v>5</v>
      </c>
      <c r="B240" s="2" t="s">
        <v>2483</v>
      </c>
      <c r="C240" s="103" t="s">
        <v>2505</v>
      </c>
      <c r="D240" s="103" t="s">
        <v>2506</v>
      </c>
      <c r="E240" s="103" t="s">
        <v>2507</v>
      </c>
      <c r="F240" s="132"/>
      <c r="G240" s="103" t="s">
        <v>2508</v>
      </c>
      <c r="H240" s="103" t="s">
        <v>2509</v>
      </c>
      <c r="I240" s="132"/>
      <c r="J240" s="133">
        <f t="shared" si="31"/>
        <v>328</v>
      </c>
      <c r="K240" s="104"/>
    </row>
    <row r="241" ht="14.25" customHeight="1">
      <c r="A241" s="77">
        <f t="shared" si="30"/>
        <v>6</v>
      </c>
      <c r="B241" s="2" t="s">
        <v>2483</v>
      </c>
      <c r="C241" s="103" t="s">
        <v>2510</v>
      </c>
      <c r="D241" s="103" t="s">
        <v>2511</v>
      </c>
      <c r="E241" s="103" t="s">
        <v>2512</v>
      </c>
      <c r="F241" s="132"/>
      <c r="G241" s="103" t="s">
        <v>2513</v>
      </c>
      <c r="H241" s="103" t="s">
        <v>2514</v>
      </c>
      <c r="I241" s="132"/>
      <c r="J241" s="133">
        <f t="shared" si="31"/>
        <v>329</v>
      </c>
      <c r="K241" s="104"/>
    </row>
    <row r="242" ht="14.25" customHeight="1">
      <c r="A242" s="86">
        <f t="shared" si="30"/>
        <v>7</v>
      </c>
      <c r="B242" s="80" t="s">
        <v>2483</v>
      </c>
      <c r="C242" s="106" t="s">
        <v>2515</v>
      </c>
      <c r="D242" s="106" t="s">
        <v>2516</v>
      </c>
      <c r="E242" s="106" t="s">
        <v>2517</v>
      </c>
      <c r="F242" s="135"/>
      <c r="G242" s="106" t="s">
        <v>2518</v>
      </c>
      <c r="H242" s="106" t="s">
        <v>2519</v>
      </c>
      <c r="I242" s="135"/>
      <c r="J242" s="136">
        <f t="shared" si="31"/>
        <v>330</v>
      </c>
      <c r="K242" s="107"/>
    </row>
    <row r="243" ht="14.25" customHeight="1">
      <c r="A243" s="169">
        <f t="shared" si="30"/>
        <v>8</v>
      </c>
      <c r="B243" s="11" t="s">
        <v>2520</v>
      </c>
      <c r="C243" s="170" t="s">
        <v>2521</v>
      </c>
      <c r="D243" s="170" t="s">
        <v>2522</v>
      </c>
      <c r="E243" s="171"/>
      <c r="F243" s="171"/>
      <c r="G243" s="170"/>
      <c r="H243" s="171"/>
      <c r="I243" s="171"/>
      <c r="J243" s="169">
        <v>514.0</v>
      </c>
      <c r="K243" s="170"/>
    </row>
    <row r="244" ht="14.25" customHeight="1">
      <c r="A244" s="133">
        <f t="shared" si="30"/>
        <v>9</v>
      </c>
      <c r="B244" s="11" t="s">
        <v>2520</v>
      </c>
      <c r="C244" s="103" t="s">
        <v>2523</v>
      </c>
      <c r="D244" s="103" t="s">
        <v>2524</v>
      </c>
      <c r="E244" s="132"/>
      <c r="F244" s="132"/>
      <c r="G244" s="132"/>
      <c r="H244" s="132"/>
      <c r="I244" s="132"/>
      <c r="J244" s="133">
        <f t="shared" ref="J244:J246" si="32">J243+1</f>
        <v>515</v>
      </c>
      <c r="K244" s="103"/>
    </row>
    <row r="245" ht="14.25" customHeight="1">
      <c r="A245" s="133">
        <f t="shared" si="30"/>
        <v>10</v>
      </c>
      <c r="B245" s="11" t="s">
        <v>2520</v>
      </c>
      <c r="C245" s="103" t="s">
        <v>2525</v>
      </c>
      <c r="D245" s="103" t="s">
        <v>2526</v>
      </c>
      <c r="E245" s="132"/>
      <c r="F245" s="132"/>
      <c r="G245" s="132"/>
      <c r="H245" s="132"/>
      <c r="I245" s="132"/>
      <c r="J245" s="133">
        <f t="shared" si="32"/>
        <v>516</v>
      </c>
      <c r="K245" s="103"/>
    </row>
    <row r="246" ht="14.25" customHeight="1">
      <c r="A246" s="133">
        <f t="shared" si="30"/>
        <v>11</v>
      </c>
      <c r="B246" s="11" t="s">
        <v>2520</v>
      </c>
      <c r="C246" s="103" t="s">
        <v>2527</v>
      </c>
      <c r="D246" s="103" t="s">
        <v>2528</v>
      </c>
      <c r="E246" s="132"/>
      <c r="F246" s="132"/>
      <c r="G246" s="132"/>
      <c r="H246" s="132"/>
      <c r="I246" s="132"/>
      <c r="J246" s="133">
        <f t="shared" si="32"/>
        <v>517</v>
      </c>
      <c r="K246" s="103"/>
    </row>
    <row r="247" ht="14.25" customHeight="1">
      <c r="A247" s="133">
        <f t="shared" si="30"/>
        <v>12</v>
      </c>
      <c r="B247" s="11" t="s">
        <v>2520</v>
      </c>
      <c r="C247" s="103" t="s">
        <v>2529</v>
      </c>
      <c r="D247" s="103" t="s">
        <v>2530</v>
      </c>
      <c r="E247" s="132"/>
      <c r="F247" s="132"/>
      <c r="G247" s="132"/>
      <c r="H247" s="132"/>
      <c r="I247" s="132"/>
      <c r="J247" s="133">
        <v>519.0</v>
      </c>
      <c r="K247" s="103"/>
    </row>
    <row r="248" ht="14.25" customHeight="1">
      <c r="A248" s="133">
        <f t="shared" si="30"/>
        <v>13</v>
      </c>
      <c r="B248" s="11" t="s">
        <v>2520</v>
      </c>
      <c r="C248" s="103" t="s">
        <v>2531</v>
      </c>
      <c r="D248" s="103" t="s">
        <v>2532</v>
      </c>
      <c r="E248" s="132"/>
      <c r="F248" s="132"/>
      <c r="G248" s="132"/>
      <c r="H248" s="132"/>
      <c r="I248" s="132"/>
      <c r="J248" s="133">
        <f t="shared" ref="J248:J250" si="33">J247+1</f>
        <v>520</v>
      </c>
      <c r="K248" s="103"/>
    </row>
    <row r="249" ht="14.25" customHeight="1">
      <c r="A249" s="133">
        <f t="shared" si="30"/>
        <v>14</v>
      </c>
      <c r="B249" s="11" t="s">
        <v>2520</v>
      </c>
      <c r="C249" s="103" t="s">
        <v>2533</v>
      </c>
      <c r="D249" s="103" t="s">
        <v>2534</v>
      </c>
      <c r="E249" s="132"/>
      <c r="F249" s="132"/>
      <c r="G249" s="132"/>
      <c r="H249" s="132"/>
      <c r="I249" s="132"/>
      <c r="J249" s="133">
        <f t="shared" si="33"/>
        <v>521</v>
      </c>
      <c r="K249" s="103"/>
    </row>
    <row r="250" ht="14.25" customHeight="1">
      <c r="A250" s="133">
        <f t="shared" si="30"/>
        <v>15</v>
      </c>
      <c r="B250" s="11" t="s">
        <v>2520</v>
      </c>
      <c r="C250" s="103" t="s">
        <v>2535</v>
      </c>
      <c r="D250" s="103" t="s">
        <v>2536</v>
      </c>
      <c r="E250" s="132"/>
      <c r="F250" s="132"/>
      <c r="G250" s="132"/>
      <c r="H250" s="132"/>
      <c r="I250" s="132"/>
      <c r="J250" s="133">
        <f t="shared" si="33"/>
        <v>522</v>
      </c>
      <c r="K250" s="103"/>
    </row>
    <row r="251" ht="14.25" customHeight="1">
      <c r="A251" s="133">
        <f t="shared" si="30"/>
        <v>16</v>
      </c>
      <c r="B251" s="11" t="s">
        <v>2520</v>
      </c>
      <c r="C251" s="103" t="s">
        <v>2537</v>
      </c>
      <c r="D251" s="103" t="s">
        <v>2538</v>
      </c>
      <c r="E251" s="132"/>
      <c r="F251" s="132"/>
      <c r="G251" s="132"/>
      <c r="H251" s="132"/>
      <c r="I251" s="132"/>
      <c r="J251" s="133">
        <v>524.0</v>
      </c>
      <c r="K251" s="103"/>
    </row>
    <row r="252" ht="14.25" customHeight="1">
      <c r="A252" s="133">
        <f t="shared" si="30"/>
        <v>17</v>
      </c>
      <c r="B252" s="11" t="s">
        <v>2520</v>
      </c>
      <c r="C252" s="103" t="s">
        <v>2539</v>
      </c>
      <c r="D252" s="103" t="s">
        <v>2540</v>
      </c>
      <c r="E252" s="132"/>
      <c r="F252" s="132"/>
      <c r="G252" s="132"/>
      <c r="H252" s="132"/>
      <c r="I252" s="132"/>
      <c r="J252" s="133">
        <f t="shared" ref="J252:J254" si="34">J251+1</f>
        <v>525</v>
      </c>
      <c r="K252" s="103"/>
    </row>
    <row r="253" ht="14.25" customHeight="1">
      <c r="A253" s="133">
        <f t="shared" si="30"/>
        <v>18</v>
      </c>
      <c r="B253" s="11" t="s">
        <v>2520</v>
      </c>
      <c r="C253" s="103" t="s">
        <v>2541</v>
      </c>
      <c r="D253" s="103" t="s">
        <v>2542</v>
      </c>
      <c r="E253" s="132"/>
      <c r="F253" s="132"/>
      <c r="G253" s="132"/>
      <c r="H253" s="132"/>
      <c r="I253" s="132"/>
      <c r="J253" s="133">
        <f t="shared" si="34"/>
        <v>526</v>
      </c>
      <c r="K253" s="103"/>
    </row>
    <row r="254" ht="14.25" customHeight="1">
      <c r="A254" s="133">
        <f t="shared" si="30"/>
        <v>19</v>
      </c>
      <c r="B254" s="11" t="s">
        <v>2520</v>
      </c>
      <c r="C254" s="103" t="s">
        <v>2543</v>
      </c>
      <c r="D254" s="103" t="s">
        <v>2544</v>
      </c>
      <c r="E254" s="132"/>
      <c r="F254" s="132"/>
      <c r="G254" s="132"/>
      <c r="H254" s="132"/>
      <c r="I254" s="132"/>
      <c r="J254" s="133">
        <f t="shared" si="34"/>
        <v>527</v>
      </c>
      <c r="K254" s="103"/>
    </row>
    <row r="255" ht="14.25" customHeight="1">
      <c r="A255" s="133">
        <f t="shared" si="30"/>
        <v>20</v>
      </c>
      <c r="B255" s="11" t="s">
        <v>2520</v>
      </c>
      <c r="C255" s="103" t="s">
        <v>2545</v>
      </c>
      <c r="D255" s="103" t="s">
        <v>2546</v>
      </c>
      <c r="E255" s="132"/>
      <c r="F255" s="132"/>
      <c r="G255" s="132"/>
      <c r="H255" s="132"/>
      <c r="I255" s="132"/>
      <c r="J255" s="133">
        <v>529.0</v>
      </c>
      <c r="K255" s="103"/>
    </row>
    <row r="256" ht="14.25" customHeight="1">
      <c r="A256" s="133">
        <f t="shared" si="30"/>
        <v>21</v>
      </c>
      <c r="B256" s="11" t="s">
        <v>2520</v>
      </c>
      <c r="C256" s="103" t="s">
        <v>2547</v>
      </c>
      <c r="D256" s="103" t="s">
        <v>2548</v>
      </c>
      <c r="E256" s="132"/>
      <c r="F256" s="132"/>
      <c r="G256" s="132"/>
      <c r="H256" s="132"/>
      <c r="I256" s="132"/>
      <c r="J256" s="133">
        <f t="shared" ref="J256:J258" si="35">J255+1</f>
        <v>530</v>
      </c>
      <c r="K256" s="103"/>
    </row>
    <row r="257" ht="14.25" customHeight="1">
      <c r="A257" s="133">
        <f t="shared" si="30"/>
        <v>22</v>
      </c>
      <c r="B257" s="11" t="s">
        <v>2520</v>
      </c>
      <c r="C257" s="103" t="s">
        <v>2549</v>
      </c>
      <c r="D257" s="103" t="s">
        <v>2550</v>
      </c>
      <c r="E257" s="132"/>
      <c r="F257" s="132"/>
      <c r="G257" s="132"/>
      <c r="H257" s="132"/>
      <c r="I257" s="132"/>
      <c r="J257" s="133">
        <f t="shared" si="35"/>
        <v>531</v>
      </c>
      <c r="K257" s="103"/>
    </row>
    <row r="258" ht="14.25" customHeight="1">
      <c r="A258" s="133">
        <f t="shared" si="30"/>
        <v>23</v>
      </c>
      <c r="B258" s="11" t="s">
        <v>2520</v>
      </c>
      <c r="C258" s="103" t="s">
        <v>2551</v>
      </c>
      <c r="D258" s="103" t="s">
        <v>2552</v>
      </c>
      <c r="E258" s="132"/>
      <c r="F258" s="132"/>
      <c r="G258" s="132"/>
      <c r="H258" s="132"/>
      <c r="I258" s="132"/>
      <c r="J258" s="133">
        <f t="shared" si="35"/>
        <v>532</v>
      </c>
      <c r="K258" s="103"/>
    </row>
    <row r="259" ht="14.25" customHeight="1">
      <c r="A259" s="133">
        <f t="shared" si="30"/>
        <v>24</v>
      </c>
      <c r="B259" s="11" t="s">
        <v>2520</v>
      </c>
      <c r="C259" s="103" t="s">
        <v>2553</v>
      </c>
      <c r="D259" s="103" t="s">
        <v>2554</v>
      </c>
      <c r="E259" s="132"/>
      <c r="F259" s="132"/>
      <c r="G259" s="132"/>
      <c r="H259" s="132"/>
      <c r="I259" s="132"/>
      <c r="J259" s="133">
        <v>534.0</v>
      </c>
      <c r="K259" s="103"/>
    </row>
    <row r="260" ht="14.25" customHeight="1">
      <c r="A260" s="133">
        <f t="shared" si="30"/>
        <v>25</v>
      </c>
      <c r="B260" s="11" t="s">
        <v>2520</v>
      </c>
      <c r="C260" s="103" t="s">
        <v>2555</v>
      </c>
      <c r="D260" s="103" t="s">
        <v>2556</v>
      </c>
      <c r="E260" s="132"/>
      <c r="F260" s="132"/>
      <c r="G260" s="132"/>
      <c r="H260" s="132"/>
      <c r="I260" s="132"/>
      <c r="J260" s="133">
        <f t="shared" ref="J260:J262" si="36">J259+1</f>
        <v>535</v>
      </c>
      <c r="K260" s="103"/>
    </row>
    <row r="261" ht="14.25" customHeight="1">
      <c r="A261" s="133">
        <f t="shared" si="30"/>
        <v>26</v>
      </c>
      <c r="B261" s="11" t="s">
        <v>2520</v>
      </c>
      <c r="C261" s="103" t="s">
        <v>2557</v>
      </c>
      <c r="D261" s="103" t="s">
        <v>2558</v>
      </c>
      <c r="E261" s="132"/>
      <c r="F261" s="132"/>
      <c r="G261" s="132"/>
      <c r="H261" s="132"/>
      <c r="I261" s="132"/>
      <c r="J261" s="133">
        <f t="shared" si="36"/>
        <v>536</v>
      </c>
      <c r="K261" s="103"/>
    </row>
    <row r="262" ht="14.25" customHeight="1">
      <c r="A262" s="133">
        <f t="shared" si="30"/>
        <v>27</v>
      </c>
      <c r="B262" s="11" t="s">
        <v>2520</v>
      </c>
      <c r="C262" s="103" t="s">
        <v>2559</v>
      </c>
      <c r="D262" s="103" t="s">
        <v>2560</v>
      </c>
      <c r="E262" s="132"/>
      <c r="F262" s="132"/>
      <c r="G262" s="132"/>
      <c r="H262" s="132"/>
      <c r="I262" s="132"/>
      <c r="J262" s="133">
        <f t="shared" si="36"/>
        <v>537</v>
      </c>
      <c r="K262" s="103"/>
    </row>
    <row r="263" ht="14.25" customHeight="1">
      <c r="A263" s="70"/>
      <c r="B263" s="5"/>
      <c r="J263" s="70"/>
      <c r="K263" s="172"/>
    </row>
    <row r="264" ht="14.25" customHeight="1">
      <c r="A264" s="70"/>
      <c r="B264" s="5"/>
      <c r="J264" s="70"/>
      <c r="K264" s="172"/>
    </row>
    <row r="265" ht="14.25" customHeight="1">
      <c r="A265" s="70"/>
      <c r="B265" s="5"/>
      <c r="J265" s="70"/>
      <c r="K265" s="172"/>
    </row>
    <row r="266" ht="14.25" customHeight="1">
      <c r="A266" s="70"/>
      <c r="B266" s="5"/>
      <c r="J266" s="70"/>
      <c r="K266" s="172"/>
    </row>
    <row r="267" ht="14.25" customHeight="1">
      <c r="A267" s="70"/>
      <c r="B267" s="5"/>
      <c r="J267" s="70"/>
      <c r="K267" s="172"/>
    </row>
    <row r="268" ht="14.25" customHeight="1">
      <c r="A268" s="70"/>
      <c r="B268" s="5"/>
      <c r="J268" s="70"/>
      <c r="K268" s="172"/>
    </row>
    <row r="269" ht="14.25" customHeight="1">
      <c r="A269" s="70"/>
      <c r="B269" s="5"/>
      <c r="J269" s="70"/>
      <c r="K269" s="172"/>
    </row>
    <row r="270" ht="14.25" customHeight="1">
      <c r="A270" s="70"/>
      <c r="B270" s="5"/>
      <c r="J270" s="70"/>
      <c r="K270" s="172"/>
    </row>
    <row r="271" ht="14.25" customHeight="1">
      <c r="A271" s="70"/>
      <c r="B271" s="5"/>
      <c r="J271" s="70"/>
      <c r="K271" s="172"/>
    </row>
    <row r="272" ht="14.25" customHeight="1">
      <c r="A272" s="70"/>
      <c r="B272" s="5"/>
      <c r="J272" s="70"/>
      <c r="K272" s="172"/>
    </row>
    <row r="273" ht="14.25" customHeight="1">
      <c r="A273" s="70"/>
      <c r="B273" s="5"/>
      <c r="J273" s="70"/>
      <c r="K273" s="172"/>
    </row>
    <row r="274" ht="14.25" customHeight="1">
      <c r="A274" s="70"/>
      <c r="B274" s="5"/>
      <c r="J274" s="70"/>
      <c r="K274" s="172"/>
    </row>
    <row r="275" ht="14.25" customHeight="1">
      <c r="A275" s="70"/>
      <c r="B275" s="5"/>
      <c r="J275" s="70"/>
      <c r="K275" s="172"/>
    </row>
    <row r="276" ht="14.25" customHeight="1">
      <c r="A276" s="70"/>
      <c r="B276" s="5"/>
      <c r="J276" s="70"/>
      <c r="K276" s="172"/>
    </row>
    <row r="277" ht="14.25" customHeight="1">
      <c r="A277" s="70"/>
      <c r="B277" s="5"/>
      <c r="J277" s="70"/>
      <c r="K277" s="172"/>
    </row>
    <row r="278" ht="14.25" customHeight="1">
      <c r="A278" s="70"/>
      <c r="B278" s="5"/>
      <c r="J278" s="70"/>
      <c r="K278" s="172"/>
    </row>
    <row r="279" ht="14.25" customHeight="1">
      <c r="A279" s="70"/>
      <c r="B279" s="5"/>
      <c r="J279" s="70"/>
      <c r="K279" s="172"/>
    </row>
    <row r="280" ht="14.25" customHeight="1">
      <c r="A280" s="70"/>
      <c r="B280" s="5"/>
      <c r="J280" s="70"/>
      <c r="K280" s="172"/>
    </row>
    <row r="281" ht="14.25" customHeight="1">
      <c r="A281" s="70"/>
      <c r="B281" s="5"/>
      <c r="J281" s="70"/>
      <c r="K281" s="172"/>
    </row>
    <row r="282" ht="14.25" customHeight="1">
      <c r="A282" s="70"/>
      <c r="B282" s="5"/>
      <c r="J282" s="70"/>
      <c r="K282" s="172"/>
    </row>
    <row r="283" ht="14.25" customHeight="1">
      <c r="A283" s="70"/>
      <c r="B283" s="5"/>
      <c r="J283" s="70"/>
      <c r="K283" s="172"/>
    </row>
    <row r="284" ht="14.25" customHeight="1">
      <c r="A284" s="70"/>
      <c r="B284" s="5"/>
      <c r="J284" s="70"/>
      <c r="K284" s="172"/>
    </row>
    <row r="285" ht="14.25" customHeight="1">
      <c r="A285" s="70"/>
      <c r="B285" s="5"/>
      <c r="J285" s="70"/>
      <c r="K285" s="172"/>
    </row>
    <row r="286" ht="14.25" customHeight="1">
      <c r="A286" s="70"/>
      <c r="B286" s="5"/>
      <c r="J286" s="70"/>
      <c r="K286" s="172"/>
    </row>
    <row r="287" ht="14.25" customHeight="1">
      <c r="A287" s="70"/>
      <c r="B287" s="5"/>
      <c r="J287" s="70"/>
      <c r="K287" s="172"/>
    </row>
    <row r="288" ht="14.25" customHeight="1">
      <c r="A288" s="70"/>
      <c r="B288" s="5"/>
      <c r="J288" s="70"/>
      <c r="K288" s="172"/>
    </row>
    <row r="289" ht="14.25" customHeight="1">
      <c r="A289" s="70"/>
      <c r="B289" s="5"/>
      <c r="J289" s="70"/>
      <c r="K289" s="172"/>
    </row>
    <row r="290" ht="14.25" customHeight="1">
      <c r="A290" s="70"/>
      <c r="B290" s="5"/>
      <c r="J290" s="70"/>
      <c r="K290" s="172"/>
    </row>
    <row r="291" ht="14.25" customHeight="1">
      <c r="A291" s="70"/>
      <c r="B291" s="5"/>
      <c r="J291" s="70"/>
      <c r="K291" s="172"/>
    </row>
    <row r="292" ht="14.25" customHeight="1">
      <c r="A292" s="70"/>
      <c r="B292" s="5"/>
      <c r="J292" s="70"/>
      <c r="K292" s="172"/>
    </row>
    <row r="293" ht="14.25" customHeight="1">
      <c r="A293" s="70"/>
      <c r="B293" s="5"/>
      <c r="J293" s="70"/>
      <c r="K293" s="172"/>
    </row>
    <row r="294" ht="14.25" customHeight="1">
      <c r="A294" s="70"/>
      <c r="B294" s="5"/>
      <c r="J294" s="70"/>
      <c r="K294" s="172"/>
    </row>
    <row r="295" ht="14.25" customHeight="1">
      <c r="A295" s="70"/>
      <c r="B295" s="5"/>
      <c r="J295" s="70"/>
      <c r="K295" s="172"/>
    </row>
    <row r="296" ht="14.25" customHeight="1">
      <c r="A296" s="70"/>
      <c r="B296" s="5"/>
      <c r="J296" s="70"/>
      <c r="K296" s="172"/>
    </row>
    <row r="297" ht="14.25" customHeight="1">
      <c r="A297" s="70"/>
      <c r="B297" s="5"/>
      <c r="J297" s="70"/>
      <c r="K297" s="172"/>
    </row>
    <row r="298" ht="14.25" customHeight="1">
      <c r="A298" s="70"/>
      <c r="B298" s="5"/>
      <c r="J298" s="70"/>
      <c r="K298" s="172"/>
    </row>
    <row r="299" ht="14.25" customHeight="1">
      <c r="A299" s="70"/>
      <c r="B299" s="5"/>
      <c r="J299" s="70"/>
      <c r="K299" s="172"/>
    </row>
    <row r="300" ht="14.25" customHeight="1">
      <c r="A300" s="70"/>
      <c r="B300" s="5"/>
      <c r="J300" s="70"/>
      <c r="K300" s="172"/>
    </row>
    <row r="301" ht="14.25" customHeight="1">
      <c r="A301" s="70"/>
      <c r="B301" s="5"/>
      <c r="J301" s="70"/>
      <c r="K301" s="172"/>
    </row>
    <row r="302" ht="14.25" customHeight="1">
      <c r="A302" s="70"/>
      <c r="B302" s="5"/>
      <c r="J302" s="70"/>
      <c r="K302" s="172"/>
    </row>
    <row r="303" ht="14.25" customHeight="1">
      <c r="A303" s="70"/>
      <c r="B303" s="5"/>
      <c r="J303" s="70"/>
      <c r="K303" s="172"/>
    </row>
    <row r="304" ht="14.25" customHeight="1">
      <c r="A304" s="70"/>
      <c r="B304" s="5"/>
      <c r="J304" s="70"/>
      <c r="K304" s="172"/>
    </row>
    <row r="305" ht="14.25" customHeight="1">
      <c r="A305" s="70"/>
      <c r="B305" s="5"/>
      <c r="J305" s="70"/>
      <c r="K305" s="172"/>
    </row>
    <row r="306" ht="14.25" customHeight="1">
      <c r="A306" s="70"/>
      <c r="B306" s="5"/>
      <c r="J306" s="70"/>
      <c r="K306" s="172"/>
    </row>
    <row r="307" ht="14.25" customHeight="1">
      <c r="A307" s="70"/>
      <c r="B307" s="5"/>
      <c r="J307" s="70"/>
      <c r="K307" s="172"/>
    </row>
    <row r="308" ht="14.25" customHeight="1">
      <c r="A308" s="70"/>
      <c r="B308" s="5"/>
      <c r="J308" s="70"/>
      <c r="K308" s="172"/>
    </row>
    <row r="309" ht="14.25" customHeight="1">
      <c r="A309" s="70"/>
      <c r="B309" s="5"/>
      <c r="J309" s="70"/>
      <c r="K309" s="172"/>
    </row>
    <row r="310" ht="14.25" customHeight="1">
      <c r="A310" s="70"/>
      <c r="B310" s="5"/>
      <c r="J310" s="70"/>
      <c r="K310" s="172"/>
    </row>
    <row r="311" ht="14.25" customHeight="1">
      <c r="A311" s="70"/>
      <c r="B311" s="5"/>
      <c r="J311" s="70"/>
      <c r="K311" s="172"/>
    </row>
    <row r="312" ht="14.25" customHeight="1">
      <c r="A312" s="70"/>
      <c r="B312" s="5"/>
      <c r="J312" s="70"/>
      <c r="K312" s="172"/>
    </row>
    <row r="313" ht="14.25" customHeight="1">
      <c r="A313" s="70"/>
      <c r="B313" s="5"/>
      <c r="J313" s="70"/>
      <c r="K313" s="172"/>
    </row>
    <row r="314" ht="14.25" customHeight="1">
      <c r="A314" s="70"/>
      <c r="B314" s="5"/>
      <c r="J314" s="70"/>
      <c r="K314" s="172"/>
    </row>
    <row r="315" ht="14.25" customHeight="1">
      <c r="A315" s="70"/>
      <c r="B315" s="5"/>
      <c r="J315" s="70"/>
      <c r="K315" s="172"/>
    </row>
    <row r="316" ht="14.25" customHeight="1">
      <c r="A316" s="70"/>
      <c r="B316" s="5"/>
      <c r="J316" s="70"/>
      <c r="K316" s="172"/>
    </row>
    <row r="317" ht="14.25" customHeight="1">
      <c r="A317" s="70"/>
      <c r="B317" s="5"/>
      <c r="J317" s="70"/>
      <c r="K317" s="172"/>
    </row>
    <row r="318" ht="14.25" customHeight="1">
      <c r="A318" s="70"/>
      <c r="B318" s="5"/>
      <c r="J318" s="70"/>
      <c r="K318" s="172"/>
    </row>
    <row r="319" ht="14.25" customHeight="1">
      <c r="A319" s="70"/>
      <c r="B319" s="5"/>
      <c r="J319" s="70"/>
      <c r="K319" s="172"/>
    </row>
    <row r="320" ht="14.25" customHeight="1">
      <c r="A320" s="70"/>
      <c r="B320" s="5"/>
      <c r="J320" s="70"/>
      <c r="K320" s="172"/>
    </row>
    <row r="321" ht="14.25" customHeight="1">
      <c r="A321" s="70"/>
      <c r="B321" s="5"/>
      <c r="J321" s="70"/>
      <c r="K321" s="172"/>
    </row>
    <row r="322" ht="14.25" customHeight="1">
      <c r="A322" s="70"/>
      <c r="B322" s="5"/>
      <c r="J322" s="70"/>
      <c r="K322" s="172"/>
    </row>
    <row r="323" ht="14.25" customHeight="1">
      <c r="A323" s="70"/>
      <c r="B323" s="5"/>
      <c r="J323" s="70"/>
      <c r="K323" s="172"/>
    </row>
    <row r="324" ht="14.25" customHeight="1">
      <c r="A324" s="70"/>
      <c r="B324" s="5"/>
      <c r="J324" s="70"/>
      <c r="K324" s="172"/>
    </row>
    <row r="325" ht="14.25" customHeight="1">
      <c r="A325" s="70"/>
      <c r="B325" s="5"/>
      <c r="J325" s="70"/>
      <c r="K325" s="172"/>
    </row>
    <row r="326" ht="14.25" customHeight="1">
      <c r="A326" s="70"/>
      <c r="B326" s="5"/>
      <c r="J326" s="70"/>
      <c r="K326" s="172"/>
    </row>
    <row r="327" ht="14.25" customHeight="1">
      <c r="A327" s="70"/>
      <c r="B327" s="5"/>
      <c r="J327" s="70"/>
      <c r="K327" s="172"/>
    </row>
    <row r="328" ht="14.25" customHeight="1">
      <c r="A328" s="70"/>
      <c r="B328" s="5"/>
      <c r="J328" s="70"/>
      <c r="K328" s="172"/>
    </row>
    <row r="329" ht="14.25" customHeight="1">
      <c r="A329" s="70"/>
      <c r="B329" s="5"/>
      <c r="J329" s="70"/>
      <c r="K329" s="172"/>
    </row>
    <row r="330" ht="14.25" customHeight="1">
      <c r="A330" s="70"/>
      <c r="B330" s="5"/>
      <c r="J330" s="70"/>
      <c r="K330" s="172"/>
    </row>
    <row r="331" ht="14.25" customHeight="1">
      <c r="A331" s="70"/>
      <c r="B331" s="5"/>
      <c r="J331" s="70"/>
      <c r="K331" s="172"/>
    </row>
    <row r="332" ht="14.25" customHeight="1">
      <c r="A332" s="70"/>
      <c r="B332" s="5"/>
      <c r="J332" s="70"/>
      <c r="K332" s="172"/>
    </row>
    <row r="333" ht="14.25" customHeight="1">
      <c r="A333" s="70"/>
      <c r="B333" s="5"/>
      <c r="J333" s="70"/>
      <c r="K333" s="172"/>
    </row>
    <row r="334" ht="14.25" customHeight="1">
      <c r="A334" s="70"/>
      <c r="B334" s="5"/>
      <c r="J334" s="70"/>
      <c r="K334" s="172"/>
    </row>
    <row r="335" ht="14.25" customHeight="1">
      <c r="A335" s="70"/>
      <c r="B335" s="5"/>
      <c r="J335" s="70"/>
      <c r="K335" s="172"/>
    </row>
    <row r="336" ht="14.25" customHeight="1">
      <c r="A336" s="70"/>
      <c r="B336" s="5"/>
      <c r="J336" s="70"/>
      <c r="K336" s="172"/>
    </row>
    <row r="337" ht="14.25" customHeight="1">
      <c r="A337" s="70"/>
      <c r="B337" s="5"/>
      <c r="J337" s="70"/>
      <c r="K337" s="172"/>
    </row>
    <row r="338" ht="14.25" customHeight="1">
      <c r="A338" s="70"/>
      <c r="B338" s="5"/>
      <c r="J338" s="70"/>
      <c r="K338" s="172"/>
    </row>
    <row r="339" ht="14.25" customHeight="1">
      <c r="A339" s="70"/>
      <c r="B339" s="5"/>
      <c r="J339" s="70"/>
      <c r="K339" s="172"/>
    </row>
    <row r="340" ht="14.25" customHeight="1">
      <c r="A340" s="70"/>
      <c r="B340" s="5"/>
      <c r="J340" s="70"/>
      <c r="K340" s="172"/>
    </row>
    <row r="341" ht="14.25" customHeight="1">
      <c r="A341" s="70"/>
      <c r="B341" s="5"/>
      <c r="J341" s="70"/>
      <c r="K341" s="172"/>
    </row>
    <row r="342" ht="14.25" customHeight="1">
      <c r="A342" s="70"/>
      <c r="B342" s="5"/>
      <c r="J342" s="70"/>
      <c r="K342" s="172"/>
    </row>
    <row r="343" ht="14.25" customHeight="1">
      <c r="A343" s="70"/>
      <c r="B343" s="5"/>
      <c r="J343" s="70"/>
      <c r="K343" s="172"/>
    </row>
    <row r="344" ht="14.25" customHeight="1">
      <c r="A344" s="70"/>
      <c r="B344" s="5"/>
      <c r="J344" s="70"/>
      <c r="K344" s="172"/>
    </row>
    <row r="345" ht="14.25" customHeight="1">
      <c r="A345" s="70"/>
      <c r="B345" s="5"/>
      <c r="J345" s="70"/>
      <c r="K345" s="172"/>
    </row>
    <row r="346" ht="14.25" customHeight="1">
      <c r="A346" s="70"/>
      <c r="B346" s="5"/>
      <c r="J346" s="70"/>
      <c r="K346" s="172"/>
    </row>
    <row r="347" ht="14.25" customHeight="1">
      <c r="A347" s="70"/>
      <c r="B347" s="5"/>
      <c r="J347" s="70"/>
      <c r="K347" s="172"/>
    </row>
    <row r="348" ht="14.25" customHeight="1">
      <c r="A348" s="70"/>
      <c r="B348" s="5"/>
      <c r="J348" s="70"/>
      <c r="K348" s="172"/>
    </row>
    <row r="349" ht="14.25" customHeight="1">
      <c r="A349" s="70"/>
      <c r="B349" s="5"/>
      <c r="J349" s="70"/>
      <c r="K349" s="172"/>
    </row>
    <row r="350" ht="14.25" customHeight="1">
      <c r="A350" s="70"/>
      <c r="B350" s="5"/>
      <c r="J350" s="70"/>
      <c r="K350" s="172"/>
    </row>
    <row r="351" ht="14.25" customHeight="1">
      <c r="A351" s="70"/>
      <c r="B351" s="5"/>
      <c r="J351" s="70"/>
      <c r="K351" s="172"/>
    </row>
    <row r="352" ht="14.25" customHeight="1">
      <c r="A352" s="70"/>
      <c r="B352" s="5"/>
      <c r="J352" s="70"/>
      <c r="K352" s="172"/>
    </row>
    <row r="353" ht="14.25" customHeight="1">
      <c r="A353" s="70"/>
      <c r="B353" s="5"/>
      <c r="J353" s="70"/>
      <c r="K353" s="172"/>
    </row>
    <row r="354" ht="14.25" customHeight="1">
      <c r="A354" s="70"/>
      <c r="B354" s="5"/>
      <c r="J354" s="70"/>
      <c r="K354" s="172"/>
    </row>
    <row r="355" ht="14.25" customHeight="1">
      <c r="A355" s="70"/>
      <c r="B355" s="5"/>
      <c r="J355" s="70"/>
      <c r="K355" s="172"/>
    </row>
    <row r="356" ht="14.25" customHeight="1">
      <c r="A356" s="70"/>
      <c r="B356" s="5"/>
      <c r="J356" s="70"/>
      <c r="K356" s="172"/>
    </row>
    <row r="357" ht="14.25" customHeight="1">
      <c r="A357" s="70"/>
      <c r="B357" s="5"/>
      <c r="J357" s="70"/>
      <c r="K357" s="172"/>
    </row>
    <row r="358" ht="14.25" customHeight="1">
      <c r="A358" s="70"/>
      <c r="B358" s="5"/>
      <c r="J358" s="70"/>
      <c r="K358" s="172"/>
    </row>
    <row r="359" ht="14.25" customHeight="1">
      <c r="A359" s="70"/>
      <c r="B359" s="5"/>
      <c r="J359" s="70"/>
      <c r="K359" s="172"/>
    </row>
    <row r="360" ht="14.25" customHeight="1">
      <c r="A360" s="70"/>
      <c r="B360" s="5"/>
      <c r="J360" s="70"/>
      <c r="K360" s="172"/>
    </row>
    <row r="361" ht="14.25" customHeight="1">
      <c r="A361" s="70"/>
      <c r="B361" s="5"/>
      <c r="J361" s="70"/>
      <c r="K361" s="172"/>
    </row>
    <row r="362" ht="14.25" customHeight="1">
      <c r="A362" s="70"/>
      <c r="B362" s="5"/>
      <c r="J362" s="70"/>
      <c r="K362" s="172"/>
    </row>
    <row r="363" ht="14.25" customHeight="1">
      <c r="A363" s="70"/>
      <c r="B363" s="5"/>
      <c r="J363" s="70"/>
      <c r="K363" s="172"/>
    </row>
    <row r="364" ht="14.25" customHeight="1">
      <c r="A364" s="70"/>
      <c r="B364" s="5"/>
      <c r="J364" s="70"/>
      <c r="K364" s="172"/>
    </row>
    <row r="365" ht="14.25" customHeight="1">
      <c r="A365" s="70"/>
      <c r="B365" s="5"/>
      <c r="J365" s="70"/>
      <c r="K365" s="172"/>
    </row>
    <row r="366" ht="14.25" customHeight="1">
      <c r="A366" s="70"/>
      <c r="B366" s="5"/>
      <c r="J366" s="70"/>
      <c r="K366" s="172"/>
    </row>
    <row r="367" ht="14.25" customHeight="1">
      <c r="A367" s="70"/>
      <c r="B367" s="5"/>
      <c r="J367" s="70"/>
      <c r="K367" s="172"/>
    </row>
    <row r="368" ht="14.25" customHeight="1">
      <c r="A368" s="70"/>
      <c r="B368" s="5"/>
      <c r="J368" s="70"/>
      <c r="K368" s="172"/>
    </row>
    <row r="369" ht="14.25" customHeight="1">
      <c r="A369" s="70"/>
      <c r="B369" s="5"/>
      <c r="J369" s="70"/>
      <c r="K369" s="172"/>
    </row>
    <row r="370" ht="14.25" customHeight="1">
      <c r="A370" s="70"/>
      <c r="B370" s="5"/>
      <c r="J370" s="70"/>
      <c r="K370" s="172"/>
    </row>
    <row r="371" ht="14.25" customHeight="1">
      <c r="A371" s="70"/>
      <c r="B371" s="5"/>
      <c r="J371" s="70"/>
      <c r="K371" s="172"/>
    </row>
    <row r="372" ht="14.25" customHeight="1">
      <c r="A372" s="70"/>
      <c r="B372" s="5"/>
      <c r="J372" s="70"/>
      <c r="K372" s="172"/>
    </row>
    <row r="373" ht="14.25" customHeight="1">
      <c r="A373" s="70"/>
      <c r="B373" s="5"/>
      <c r="J373" s="70"/>
      <c r="K373" s="172"/>
    </row>
    <row r="374" ht="14.25" customHeight="1">
      <c r="A374" s="70"/>
      <c r="B374" s="5"/>
      <c r="J374" s="70"/>
      <c r="K374" s="172"/>
    </row>
    <row r="375" ht="14.25" customHeight="1">
      <c r="A375" s="70"/>
      <c r="B375" s="5"/>
      <c r="J375" s="70"/>
      <c r="K375" s="172"/>
    </row>
    <row r="376" ht="14.25" customHeight="1">
      <c r="A376" s="70"/>
      <c r="B376" s="5"/>
      <c r="J376" s="70"/>
      <c r="K376" s="172"/>
    </row>
    <row r="377" ht="14.25" customHeight="1">
      <c r="A377" s="70"/>
      <c r="B377" s="5"/>
      <c r="J377" s="70"/>
      <c r="K377" s="172"/>
    </row>
    <row r="378" ht="14.25" customHeight="1">
      <c r="A378" s="70"/>
      <c r="B378" s="5"/>
      <c r="J378" s="70"/>
      <c r="K378" s="172"/>
    </row>
    <row r="379" ht="14.25" customHeight="1">
      <c r="A379" s="70"/>
      <c r="B379" s="5"/>
      <c r="J379" s="70"/>
      <c r="K379" s="172"/>
    </row>
    <row r="380" ht="14.25" customHeight="1">
      <c r="A380" s="70"/>
      <c r="B380" s="5"/>
      <c r="J380" s="70"/>
      <c r="K380" s="172"/>
    </row>
    <row r="381" ht="14.25" customHeight="1">
      <c r="A381" s="70"/>
      <c r="B381" s="5"/>
      <c r="J381" s="70"/>
      <c r="K381" s="172"/>
    </row>
    <row r="382" ht="14.25" customHeight="1">
      <c r="A382" s="70"/>
      <c r="B382" s="5"/>
      <c r="J382" s="70"/>
      <c r="K382" s="172"/>
    </row>
    <row r="383" ht="14.25" customHeight="1">
      <c r="A383" s="70"/>
      <c r="B383" s="5"/>
      <c r="J383" s="70"/>
      <c r="K383" s="172"/>
    </row>
    <row r="384" ht="14.25" customHeight="1">
      <c r="A384" s="70"/>
      <c r="B384" s="5"/>
      <c r="J384" s="70"/>
      <c r="K384" s="172"/>
    </row>
    <row r="385" ht="14.25" customHeight="1">
      <c r="A385" s="70"/>
      <c r="B385" s="5"/>
      <c r="J385" s="70"/>
      <c r="K385" s="172"/>
    </row>
    <row r="386" ht="14.25" customHeight="1">
      <c r="A386" s="70"/>
      <c r="B386" s="5"/>
      <c r="J386" s="70"/>
      <c r="K386" s="172"/>
    </row>
    <row r="387" ht="14.25" customHeight="1">
      <c r="A387" s="70"/>
      <c r="B387" s="5"/>
      <c r="J387" s="70"/>
      <c r="K387" s="172"/>
    </row>
    <row r="388" ht="14.25" customHeight="1">
      <c r="A388" s="70"/>
      <c r="B388" s="5"/>
      <c r="J388" s="70"/>
      <c r="K388" s="172"/>
    </row>
    <row r="389" ht="14.25" customHeight="1">
      <c r="A389" s="70"/>
      <c r="B389" s="5"/>
      <c r="J389" s="70"/>
      <c r="K389" s="172"/>
    </row>
    <row r="390" ht="14.25" customHeight="1">
      <c r="A390" s="70"/>
      <c r="B390" s="5"/>
      <c r="J390" s="70"/>
      <c r="K390" s="172"/>
    </row>
    <row r="391" ht="14.25" customHeight="1">
      <c r="A391" s="70"/>
      <c r="B391" s="5"/>
      <c r="J391" s="70"/>
      <c r="K391" s="172"/>
    </row>
    <row r="392" ht="14.25" customHeight="1">
      <c r="A392" s="70"/>
      <c r="B392" s="5"/>
      <c r="J392" s="70"/>
      <c r="K392" s="172"/>
    </row>
    <row r="393" ht="14.25" customHeight="1">
      <c r="A393" s="70"/>
      <c r="B393" s="5"/>
      <c r="J393" s="70"/>
      <c r="K393" s="172"/>
    </row>
    <row r="394" ht="14.25" customHeight="1">
      <c r="A394" s="70"/>
      <c r="B394" s="5"/>
      <c r="J394" s="70"/>
      <c r="K394" s="172"/>
    </row>
    <row r="395" ht="14.25" customHeight="1">
      <c r="A395" s="70"/>
      <c r="B395" s="5"/>
      <c r="J395" s="70"/>
      <c r="K395" s="172"/>
    </row>
    <row r="396" ht="14.25" customHeight="1">
      <c r="A396" s="70"/>
      <c r="B396" s="5"/>
      <c r="J396" s="70"/>
      <c r="K396" s="172"/>
    </row>
    <row r="397" ht="14.25" customHeight="1">
      <c r="A397" s="70"/>
      <c r="B397" s="5"/>
      <c r="J397" s="70"/>
      <c r="K397" s="172"/>
    </row>
    <row r="398" ht="14.25" customHeight="1">
      <c r="A398" s="70"/>
      <c r="B398" s="5"/>
      <c r="J398" s="70"/>
      <c r="K398" s="172"/>
    </row>
    <row r="399" ht="14.25" customHeight="1">
      <c r="A399" s="70"/>
      <c r="B399" s="5"/>
      <c r="J399" s="70"/>
      <c r="K399" s="172"/>
    </row>
    <row r="400" ht="14.25" customHeight="1">
      <c r="A400" s="70"/>
      <c r="B400" s="5"/>
      <c r="J400" s="70"/>
      <c r="K400" s="172"/>
    </row>
    <row r="401" ht="14.25" customHeight="1">
      <c r="A401" s="70"/>
      <c r="B401" s="5"/>
      <c r="J401" s="70"/>
      <c r="K401" s="172"/>
    </row>
    <row r="402" ht="14.25" customHeight="1">
      <c r="A402" s="70"/>
      <c r="B402" s="5"/>
      <c r="J402" s="70"/>
      <c r="K402" s="172"/>
    </row>
    <row r="403" ht="14.25" customHeight="1">
      <c r="A403" s="70"/>
      <c r="B403" s="5"/>
      <c r="J403" s="70"/>
      <c r="K403" s="172"/>
    </row>
    <row r="404" ht="14.25" customHeight="1">
      <c r="A404" s="70"/>
      <c r="B404" s="5"/>
      <c r="J404" s="70"/>
      <c r="K404" s="172"/>
    </row>
    <row r="405" ht="14.25" customHeight="1">
      <c r="A405" s="70"/>
      <c r="B405" s="5"/>
      <c r="J405" s="70"/>
      <c r="K405" s="172"/>
    </row>
    <row r="406" ht="14.25" customHeight="1">
      <c r="A406" s="70"/>
      <c r="B406" s="5"/>
      <c r="J406" s="70"/>
      <c r="K406" s="172"/>
    </row>
    <row r="407" ht="14.25" customHeight="1">
      <c r="A407" s="70"/>
      <c r="B407" s="5"/>
      <c r="J407" s="70"/>
      <c r="K407" s="172"/>
    </row>
    <row r="408" ht="14.25" customHeight="1">
      <c r="A408" s="70"/>
      <c r="B408" s="5"/>
      <c r="J408" s="70"/>
      <c r="K408" s="172"/>
    </row>
    <row r="409" ht="14.25" customHeight="1">
      <c r="A409" s="70"/>
      <c r="B409" s="5"/>
      <c r="J409" s="70"/>
      <c r="K409" s="172"/>
    </row>
    <row r="410" ht="14.25" customHeight="1">
      <c r="A410" s="70"/>
      <c r="B410" s="5"/>
      <c r="J410" s="70"/>
      <c r="K410" s="172"/>
    </row>
    <row r="411" ht="14.25" customHeight="1">
      <c r="A411" s="70"/>
      <c r="B411" s="5"/>
      <c r="J411" s="70"/>
      <c r="K411" s="172"/>
    </row>
    <row r="412" ht="14.25" customHeight="1">
      <c r="A412" s="70"/>
      <c r="B412" s="5"/>
      <c r="J412" s="70"/>
      <c r="K412" s="172"/>
    </row>
    <row r="413" ht="14.25" customHeight="1">
      <c r="A413" s="70"/>
      <c r="B413" s="5"/>
      <c r="J413" s="70"/>
      <c r="K413" s="172"/>
    </row>
    <row r="414" ht="14.25" customHeight="1">
      <c r="A414" s="70"/>
      <c r="B414" s="5"/>
      <c r="J414" s="70"/>
      <c r="K414" s="172"/>
    </row>
    <row r="415" ht="14.25" customHeight="1">
      <c r="A415" s="70"/>
      <c r="B415" s="5"/>
      <c r="J415" s="70"/>
      <c r="K415" s="172"/>
    </row>
    <row r="416" ht="14.25" customHeight="1">
      <c r="A416" s="70"/>
      <c r="B416" s="5"/>
      <c r="J416" s="70"/>
      <c r="K416" s="172"/>
    </row>
    <row r="417" ht="14.25" customHeight="1">
      <c r="A417" s="70"/>
      <c r="B417" s="5"/>
      <c r="J417" s="70"/>
      <c r="K417" s="172"/>
    </row>
    <row r="418" ht="14.25" customHeight="1">
      <c r="A418" s="70"/>
      <c r="B418" s="5"/>
      <c r="J418" s="70"/>
      <c r="K418" s="172"/>
    </row>
    <row r="419" ht="14.25" customHeight="1">
      <c r="A419" s="70"/>
      <c r="B419" s="5"/>
      <c r="J419" s="70"/>
      <c r="K419" s="172"/>
    </row>
    <row r="420" ht="14.25" customHeight="1">
      <c r="A420" s="70"/>
      <c r="B420" s="5"/>
      <c r="J420" s="70"/>
      <c r="K420" s="172"/>
    </row>
    <row r="421" ht="14.25" customHeight="1">
      <c r="A421" s="70"/>
      <c r="B421" s="5"/>
      <c r="J421" s="70"/>
      <c r="K421" s="172"/>
    </row>
    <row r="422" ht="14.25" customHeight="1">
      <c r="A422" s="70"/>
      <c r="B422" s="5"/>
      <c r="J422" s="70"/>
      <c r="K422" s="172"/>
    </row>
    <row r="423" ht="14.25" customHeight="1">
      <c r="A423" s="70"/>
      <c r="B423" s="5"/>
      <c r="J423" s="70"/>
      <c r="K423" s="172"/>
    </row>
    <row r="424" ht="14.25" customHeight="1">
      <c r="A424" s="70"/>
      <c r="B424" s="5"/>
      <c r="J424" s="70"/>
      <c r="K424" s="172"/>
    </row>
    <row r="425" ht="14.25" customHeight="1">
      <c r="A425" s="70"/>
      <c r="B425" s="5"/>
      <c r="J425" s="70"/>
      <c r="K425" s="172"/>
    </row>
    <row r="426" ht="14.25" customHeight="1">
      <c r="A426" s="70"/>
      <c r="B426" s="5"/>
      <c r="J426" s="70"/>
      <c r="K426" s="172"/>
    </row>
    <row r="427" ht="14.25" customHeight="1">
      <c r="A427" s="70"/>
      <c r="B427" s="5"/>
      <c r="J427" s="70"/>
      <c r="K427" s="172"/>
    </row>
    <row r="428" ht="14.25" customHeight="1">
      <c r="A428" s="70"/>
      <c r="B428" s="5"/>
      <c r="J428" s="70"/>
      <c r="K428" s="172"/>
    </row>
    <row r="429" ht="14.25" customHeight="1">
      <c r="A429" s="70"/>
      <c r="B429" s="5"/>
      <c r="J429" s="70"/>
      <c r="K429" s="172"/>
    </row>
    <row r="430" ht="14.25" customHeight="1">
      <c r="A430" s="70"/>
      <c r="B430" s="5"/>
      <c r="J430" s="70"/>
      <c r="K430" s="172"/>
    </row>
    <row r="431" ht="14.25" customHeight="1">
      <c r="A431" s="70"/>
      <c r="B431" s="5"/>
      <c r="J431" s="70"/>
      <c r="K431" s="172"/>
    </row>
    <row r="432" ht="14.25" customHeight="1">
      <c r="A432" s="70"/>
      <c r="B432" s="5"/>
      <c r="J432" s="70"/>
      <c r="K432" s="172"/>
    </row>
    <row r="433" ht="14.25" customHeight="1">
      <c r="A433" s="70"/>
      <c r="B433" s="5"/>
      <c r="J433" s="70"/>
      <c r="K433" s="172"/>
    </row>
    <row r="434" ht="14.25" customHeight="1">
      <c r="A434" s="70"/>
      <c r="B434" s="5"/>
      <c r="J434" s="70"/>
      <c r="K434" s="172"/>
    </row>
    <row r="435" ht="14.25" customHeight="1">
      <c r="A435" s="70"/>
      <c r="B435" s="5"/>
      <c r="J435" s="70"/>
      <c r="K435" s="172"/>
    </row>
    <row r="436" ht="14.25" customHeight="1">
      <c r="A436" s="70"/>
      <c r="B436" s="5"/>
      <c r="J436" s="70"/>
      <c r="K436" s="172"/>
    </row>
    <row r="437" ht="14.25" customHeight="1">
      <c r="A437" s="70"/>
      <c r="B437" s="5"/>
      <c r="J437" s="70"/>
      <c r="K437" s="172"/>
    </row>
    <row r="438" ht="14.25" customHeight="1">
      <c r="A438" s="70"/>
      <c r="B438" s="5"/>
      <c r="J438" s="70"/>
      <c r="K438" s="172"/>
    </row>
    <row r="439" ht="14.25" customHeight="1">
      <c r="A439" s="70"/>
      <c r="B439" s="5"/>
      <c r="J439" s="70"/>
      <c r="K439" s="172"/>
    </row>
    <row r="440" ht="14.25" customHeight="1">
      <c r="A440" s="70"/>
      <c r="B440" s="5"/>
      <c r="J440" s="70"/>
      <c r="K440" s="172"/>
    </row>
    <row r="441" ht="14.25" customHeight="1">
      <c r="A441" s="70"/>
      <c r="B441" s="5"/>
      <c r="J441" s="70"/>
      <c r="K441" s="172"/>
    </row>
    <row r="442" ht="14.25" customHeight="1">
      <c r="A442" s="70"/>
      <c r="B442" s="5"/>
      <c r="J442" s="70"/>
      <c r="K442" s="172"/>
    </row>
    <row r="443" ht="14.25" customHeight="1">
      <c r="A443" s="70"/>
      <c r="B443" s="5"/>
      <c r="J443" s="70"/>
      <c r="K443" s="172"/>
    </row>
    <row r="444" ht="14.25" customHeight="1">
      <c r="A444" s="70"/>
      <c r="B444" s="5"/>
      <c r="J444" s="70"/>
      <c r="K444" s="172"/>
    </row>
    <row r="445" ht="14.25" customHeight="1">
      <c r="A445" s="70"/>
      <c r="B445" s="5"/>
      <c r="J445" s="70"/>
      <c r="K445" s="172"/>
    </row>
    <row r="446" ht="14.25" customHeight="1">
      <c r="A446" s="70"/>
      <c r="B446" s="5"/>
      <c r="J446" s="70"/>
      <c r="K446" s="172"/>
    </row>
    <row r="447" ht="14.25" customHeight="1">
      <c r="A447" s="70"/>
      <c r="B447" s="5"/>
      <c r="J447" s="70"/>
      <c r="K447" s="172"/>
    </row>
    <row r="448" ht="14.25" customHeight="1">
      <c r="A448" s="70"/>
      <c r="B448" s="5"/>
      <c r="J448" s="70"/>
      <c r="K448" s="172"/>
    </row>
    <row r="449" ht="14.25" customHeight="1">
      <c r="A449" s="70"/>
      <c r="B449" s="5"/>
      <c r="J449" s="70"/>
      <c r="K449" s="172"/>
    </row>
    <row r="450" ht="14.25" customHeight="1">
      <c r="A450" s="70"/>
      <c r="B450" s="5"/>
      <c r="J450" s="70"/>
      <c r="K450" s="172"/>
    </row>
    <row r="451" ht="14.25" customHeight="1">
      <c r="A451" s="70"/>
      <c r="B451" s="5"/>
      <c r="J451" s="70"/>
      <c r="K451" s="172"/>
    </row>
    <row r="452" ht="14.25" customHeight="1">
      <c r="A452" s="70"/>
      <c r="B452" s="5"/>
      <c r="J452" s="70"/>
      <c r="K452" s="172"/>
    </row>
    <row r="453" ht="14.25" customHeight="1">
      <c r="A453" s="70"/>
      <c r="B453" s="5"/>
      <c r="J453" s="70"/>
      <c r="K453" s="172"/>
    </row>
    <row r="454" ht="14.25" customHeight="1">
      <c r="A454" s="70"/>
      <c r="B454" s="5"/>
      <c r="J454" s="70"/>
      <c r="K454" s="172"/>
    </row>
    <row r="455" ht="14.25" customHeight="1">
      <c r="A455" s="70"/>
      <c r="B455" s="5"/>
      <c r="J455" s="70"/>
      <c r="K455" s="172"/>
    </row>
    <row r="456" ht="14.25" customHeight="1">
      <c r="A456" s="70"/>
      <c r="B456" s="5"/>
      <c r="J456" s="70"/>
      <c r="K456" s="172"/>
    </row>
    <row r="457" ht="14.25" customHeight="1">
      <c r="A457" s="70"/>
      <c r="B457" s="5"/>
      <c r="J457" s="70"/>
      <c r="K457" s="172"/>
    </row>
    <row r="458" ht="14.25" customHeight="1">
      <c r="A458" s="70"/>
      <c r="B458" s="5"/>
      <c r="J458" s="70"/>
      <c r="K458" s="172"/>
    </row>
    <row r="459" ht="14.25" customHeight="1">
      <c r="A459" s="70"/>
      <c r="B459" s="5"/>
      <c r="J459" s="70"/>
      <c r="K459" s="172"/>
    </row>
    <row r="460" ht="14.25" customHeight="1">
      <c r="A460" s="70"/>
      <c r="B460" s="5"/>
      <c r="J460" s="70"/>
      <c r="K460" s="172"/>
    </row>
    <row r="461" ht="14.25" customHeight="1">
      <c r="A461" s="70"/>
      <c r="B461" s="5"/>
      <c r="J461" s="70"/>
      <c r="K461" s="172"/>
    </row>
    <row r="462" ht="14.25" customHeight="1">
      <c r="A462" s="70"/>
      <c r="B462" s="5"/>
      <c r="J462" s="70"/>
      <c r="K462" s="172"/>
    </row>
    <row r="463" ht="14.25" customHeight="1">
      <c r="A463" s="70"/>
      <c r="B463" s="5"/>
      <c r="J463" s="70"/>
      <c r="K463" s="172"/>
    </row>
    <row r="464" ht="14.25" customHeight="1">
      <c r="A464" s="70"/>
      <c r="B464" s="5"/>
      <c r="J464" s="70"/>
      <c r="K464" s="172"/>
    </row>
    <row r="465" ht="14.25" customHeight="1">
      <c r="A465" s="70"/>
      <c r="B465" s="5"/>
      <c r="J465" s="70"/>
      <c r="K465" s="172"/>
    </row>
    <row r="466" ht="14.25" customHeight="1">
      <c r="A466" s="70"/>
      <c r="B466" s="5"/>
      <c r="J466" s="70"/>
      <c r="K466" s="172"/>
    </row>
    <row r="467" ht="14.25" customHeight="1">
      <c r="A467" s="70"/>
      <c r="B467" s="5"/>
      <c r="J467" s="70"/>
      <c r="K467" s="172"/>
    </row>
    <row r="468" ht="14.25" customHeight="1">
      <c r="A468" s="70"/>
      <c r="B468" s="5"/>
      <c r="J468" s="70"/>
      <c r="K468" s="172"/>
    </row>
    <row r="469" ht="14.25" customHeight="1">
      <c r="A469" s="70"/>
      <c r="B469" s="5"/>
      <c r="J469" s="70"/>
      <c r="K469" s="172"/>
    </row>
    <row r="470" ht="14.25" customHeight="1">
      <c r="A470" s="70"/>
      <c r="B470" s="5"/>
      <c r="J470" s="70"/>
      <c r="K470" s="172"/>
    </row>
    <row r="471" ht="14.25" customHeight="1">
      <c r="A471" s="70"/>
      <c r="B471" s="5"/>
      <c r="J471" s="70"/>
      <c r="K471" s="172"/>
    </row>
    <row r="472" ht="14.25" customHeight="1">
      <c r="A472" s="70"/>
      <c r="B472" s="5"/>
      <c r="J472" s="70"/>
      <c r="K472" s="172"/>
    </row>
    <row r="473" ht="14.25" customHeight="1">
      <c r="A473" s="70"/>
      <c r="B473" s="5"/>
      <c r="J473" s="70"/>
      <c r="K473" s="172"/>
    </row>
    <row r="474" ht="14.25" customHeight="1">
      <c r="A474" s="70"/>
      <c r="B474" s="5"/>
      <c r="J474" s="70"/>
      <c r="K474" s="172"/>
    </row>
    <row r="475" ht="14.25" customHeight="1">
      <c r="A475" s="70"/>
      <c r="B475" s="5"/>
      <c r="J475" s="70"/>
      <c r="K475" s="172"/>
    </row>
    <row r="476" ht="14.25" customHeight="1">
      <c r="A476" s="70"/>
      <c r="B476" s="5"/>
      <c r="J476" s="70"/>
      <c r="K476" s="172"/>
    </row>
    <row r="477" ht="14.25" customHeight="1">
      <c r="A477" s="70"/>
      <c r="B477" s="5"/>
      <c r="J477" s="70"/>
      <c r="K477" s="172"/>
    </row>
    <row r="478" ht="14.25" customHeight="1">
      <c r="A478" s="70"/>
      <c r="B478" s="5"/>
      <c r="J478" s="70"/>
      <c r="K478" s="172"/>
    </row>
    <row r="479" ht="14.25" customHeight="1">
      <c r="A479" s="70"/>
      <c r="B479" s="5"/>
      <c r="J479" s="70"/>
      <c r="K479" s="172"/>
    </row>
    <row r="480" ht="14.25" customHeight="1">
      <c r="A480" s="70"/>
      <c r="B480" s="5"/>
      <c r="J480" s="70"/>
      <c r="K480" s="172"/>
    </row>
    <row r="481" ht="14.25" customHeight="1">
      <c r="A481" s="70"/>
      <c r="B481" s="5"/>
      <c r="J481" s="70"/>
      <c r="K481" s="172"/>
    </row>
    <row r="482" ht="14.25" customHeight="1">
      <c r="A482" s="70"/>
      <c r="B482" s="5"/>
      <c r="J482" s="70"/>
      <c r="K482" s="172"/>
    </row>
    <row r="483" ht="14.25" customHeight="1">
      <c r="A483" s="70"/>
      <c r="B483" s="5"/>
      <c r="J483" s="70"/>
      <c r="K483" s="172"/>
    </row>
    <row r="484" ht="14.25" customHeight="1">
      <c r="A484" s="70"/>
      <c r="B484" s="5"/>
      <c r="J484" s="70"/>
      <c r="K484" s="172"/>
    </row>
    <row r="485" ht="14.25" customHeight="1">
      <c r="A485" s="70"/>
      <c r="B485" s="5"/>
      <c r="J485" s="70"/>
      <c r="K485" s="172"/>
    </row>
    <row r="486" ht="14.25" customHeight="1">
      <c r="A486" s="70"/>
      <c r="B486" s="5"/>
      <c r="J486" s="70"/>
      <c r="K486" s="172"/>
    </row>
    <row r="487" ht="14.25" customHeight="1">
      <c r="A487" s="70"/>
      <c r="B487" s="5"/>
      <c r="J487" s="70"/>
      <c r="K487" s="172"/>
    </row>
    <row r="488" ht="14.25" customHeight="1">
      <c r="A488" s="70"/>
      <c r="B488" s="5"/>
      <c r="J488" s="70"/>
      <c r="K488" s="172"/>
    </row>
    <row r="489" ht="14.25" customHeight="1">
      <c r="A489" s="70"/>
      <c r="B489" s="5"/>
      <c r="J489" s="70"/>
      <c r="K489" s="172"/>
    </row>
    <row r="490" ht="14.25" customHeight="1">
      <c r="A490" s="70"/>
      <c r="B490" s="5"/>
      <c r="J490" s="70"/>
      <c r="K490" s="172"/>
    </row>
    <row r="491" ht="14.25" customHeight="1">
      <c r="A491" s="70"/>
      <c r="B491" s="5"/>
      <c r="J491" s="70"/>
      <c r="K491" s="172"/>
    </row>
    <row r="492" ht="14.25" customHeight="1">
      <c r="A492" s="70"/>
      <c r="B492" s="5"/>
      <c r="J492" s="70"/>
      <c r="K492" s="172"/>
    </row>
    <row r="493" ht="14.25" customHeight="1">
      <c r="A493" s="70"/>
      <c r="B493" s="5"/>
      <c r="J493" s="70"/>
      <c r="K493" s="172"/>
    </row>
    <row r="494" ht="14.25" customHeight="1">
      <c r="A494" s="70"/>
      <c r="B494" s="5"/>
      <c r="J494" s="70"/>
      <c r="K494" s="172"/>
    </row>
    <row r="495" ht="14.25" customHeight="1">
      <c r="A495" s="70"/>
      <c r="B495" s="5"/>
      <c r="J495" s="70"/>
      <c r="K495" s="172"/>
    </row>
    <row r="496" ht="14.25" customHeight="1">
      <c r="A496" s="70"/>
      <c r="B496" s="5"/>
      <c r="J496" s="70"/>
      <c r="K496" s="172"/>
    </row>
    <row r="497" ht="14.25" customHeight="1">
      <c r="A497" s="70"/>
      <c r="B497" s="5"/>
      <c r="J497" s="70"/>
      <c r="K497" s="172"/>
    </row>
    <row r="498" ht="14.25" customHeight="1">
      <c r="A498" s="70"/>
      <c r="B498" s="5"/>
      <c r="J498" s="70"/>
      <c r="K498" s="172"/>
    </row>
    <row r="499" ht="14.25" customHeight="1">
      <c r="A499" s="70"/>
      <c r="B499" s="5"/>
      <c r="J499" s="70"/>
      <c r="K499" s="172"/>
    </row>
    <row r="500" ht="14.25" customHeight="1">
      <c r="A500" s="70"/>
      <c r="B500" s="5"/>
      <c r="J500" s="70"/>
      <c r="K500" s="172"/>
    </row>
    <row r="501" ht="14.25" customHeight="1">
      <c r="A501" s="70"/>
      <c r="B501" s="5"/>
      <c r="J501" s="70"/>
      <c r="K501" s="172"/>
    </row>
    <row r="502" ht="14.25" customHeight="1">
      <c r="A502" s="70"/>
      <c r="B502" s="5"/>
      <c r="J502" s="70"/>
      <c r="K502" s="172"/>
    </row>
    <row r="503" ht="14.25" customHeight="1">
      <c r="A503" s="70"/>
      <c r="B503" s="5"/>
      <c r="J503" s="70"/>
      <c r="K503" s="172"/>
    </row>
    <row r="504" ht="14.25" customHeight="1">
      <c r="A504" s="70"/>
      <c r="B504" s="5"/>
      <c r="J504" s="70"/>
      <c r="K504" s="172"/>
    </row>
    <row r="505" ht="14.25" customHeight="1">
      <c r="A505" s="70"/>
      <c r="B505" s="5"/>
      <c r="J505" s="70"/>
      <c r="K505" s="172"/>
    </row>
    <row r="506" ht="14.25" customHeight="1">
      <c r="A506" s="70"/>
      <c r="B506" s="5"/>
      <c r="J506" s="70"/>
      <c r="K506" s="172"/>
    </row>
    <row r="507" ht="14.25" customHeight="1">
      <c r="A507" s="70"/>
      <c r="B507" s="5"/>
      <c r="J507" s="70"/>
      <c r="K507" s="172"/>
    </row>
    <row r="508" ht="14.25" customHeight="1">
      <c r="A508" s="70"/>
      <c r="B508" s="5"/>
      <c r="J508" s="70"/>
      <c r="K508" s="172"/>
    </row>
    <row r="509" ht="14.25" customHeight="1">
      <c r="A509" s="70"/>
      <c r="B509" s="5"/>
      <c r="J509" s="70"/>
      <c r="K509" s="172"/>
    </row>
    <row r="510" ht="14.25" customHeight="1">
      <c r="A510" s="70"/>
      <c r="B510" s="5"/>
      <c r="J510" s="70"/>
      <c r="K510" s="172"/>
    </row>
    <row r="511" ht="14.25" customHeight="1">
      <c r="A511" s="70"/>
      <c r="B511" s="5"/>
      <c r="J511" s="70"/>
      <c r="K511" s="172"/>
    </row>
    <row r="512" ht="14.25" customHeight="1">
      <c r="A512" s="70"/>
      <c r="B512" s="5"/>
      <c r="J512" s="70"/>
      <c r="K512" s="172"/>
    </row>
    <row r="513" ht="14.25" customHeight="1">
      <c r="A513" s="70"/>
      <c r="B513" s="5"/>
      <c r="J513" s="70"/>
      <c r="K513" s="172"/>
    </row>
    <row r="514" ht="14.25" customHeight="1">
      <c r="A514" s="70"/>
      <c r="B514" s="5"/>
      <c r="J514" s="70"/>
      <c r="K514" s="172"/>
    </row>
    <row r="515" ht="14.25" customHeight="1">
      <c r="A515" s="70"/>
      <c r="B515" s="5"/>
      <c r="J515" s="70"/>
      <c r="K515" s="172"/>
    </row>
    <row r="516" ht="14.25" customHeight="1">
      <c r="A516" s="70"/>
      <c r="B516" s="5"/>
      <c r="J516" s="70"/>
      <c r="K516" s="172"/>
    </row>
    <row r="517" ht="14.25" customHeight="1">
      <c r="A517" s="70"/>
      <c r="B517" s="5"/>
      <c r="J517" s="70"/>
      <c r="K517" s="172"/>
    </row>
    <row r="518" ht="14.25" customHeight="1">
      <c r="A518" s="70"/>
      <c r="B518" s="5"/>
      <c r="J518" s="70"/>
      <c r="K518" s="172"/>
    </row>
    <row r="519" ht="14.25" customHeight="1">
      <c r="A519" s="70"/>
      <c r="B519" s="5"/>
      <c r="J519" s="70"/>
      <c r="K519" s="172"/>
    </row>
    <row r="520" ht="14.25" customHeight="1">
      <c r="A520" s="70"/>
      <c r="B520" s="5"/>
      <c r="J520" s="70"/>
      <c r="K520" s="172"/>
    </row>
    <row r="521" ht="14.25" customHeight="1">
      <c r="A521" s="70"/>
      <c r="B521" s="5"/>
      <c r="J521" s="70"/>
      <c r="K521" s="172"/>
    </row>
    <row r="522" ht="14.25" customHeight="1">
      <c r="A522" s="70"/>
      <c r="B522" s="5"/>
      <c r="J522" s="70"/>
      <c r="K522" s="172"/>
    </row>
    <row r="523" ht="14.25" customHeight="1">
      <c r="A523" s="70"/>
      <c r="B523" s="5"/>
      <c r="J523" s="70"/>
      <c r="K523" s="172"/>
    </row>
    <row r="524" ht="14.25" customHeight="1">
      <c r="A524" s="70"/>
      <c r="B524" s="5"/>
      <c r="J524" s="70"/>
      <c r="K524" s="172"/>
    </row>
    <row r="525" ht="14.25" customHeight="1">
      <c r="A525" s="70"/>
      <c r="B525" s="5"/>
      <c r="J525" s="70"/>
      <c r="K525" s="172"/>
    </row>
    <row r="526" ht="14.25" customHeight="1">
      <c r="A526" s="70"/>
      <c r="B526" s="5"/>
      <c r="J526" s="70"/>
      <c r="K526" s="172"/>
    </row>
    <row r="527" ht="14.25" customHeight="1">
      <c r="A527" s="70"/>
      <c r="B527" s="5"/>
      <c r="J527" s="70"/>
      <c r="K527" s="172"/>
    </row>
    <row r="528" ht="14.25" customHeight="1">
      <c r="A528" s="70"/>
      <c r="B528" s="5"/>
      <c r="J528" s="70"/>
      <c r="K528" s="172"/>
    </row>
    <row r="529" ht="14.25" customHeight="1">
      <c r="A529" s="70"/>
      <c r="B529" s="5"/>
      <c r="J529" s="70"/>
      <c r="K529" s="172"/>
    </row>
    <row r="530" ht="14.25" customHeight="1">
      <c r="A530" s="70"/>
      <c r="B530" s="5"/>
      <c r="J530" s="70"/>
      <c r="K530" s="172"/>
    </row>
    <row r="531" ht="14.25" customHeight="1">
      <c r="A531" s="70"/>
      <c r="B531" s="5"/>
      <c r="J531" s="70"/>
      <c r="K531" s="172"/>
    </row>
    <row r="532" ht="14.25" customHeight="1">
      <c r="A532" s="70"/>
      <c r="B532" s="5"/>
      <c r="J532" s="70"/>
      <c r="K532" s="172"/>
    </row>
    <row r="533" ht="14.25" customHeight="1">
      <c r="A533" s="70"/>
      <c r="B533" s="5"/>
      <c r="J533" s="70"/>
      <c r="K533" s="172"/>
    </row>
    <row r="534" ht="14.25" customHeight="1">
      <c r="A534" s="70"/>
      <c r="B534" s="5"/>
      <c r="J534" s="70"/>
      <c r="K534" s="172"/>
    </row>
    <row r="535" ht="14.25" customHeight="1">
      <c r="A535" s="70"/>
      <c r="B535" s="5"/>
      <c r="J535" s="70"/>
      <c r="K535" s="172"/>
    </row>
    <row r="536" ht="14.25" customHeight="1">
      <c r="A536" s="70"/>
      <c r="B536" s="5"/>
      <c r="J536" s="70"/>
      <c r="K536" s="172"/>
    </row>
    <row r="537" ht="14.25" customHeight="1">
      <c r="A537" s="70"/>
      <c r="B537" s="5"/>
      <c r="J537" s="70"/>
      <c r="K537" s="172"/>
    </row>
    <row r="538" ht="14.25" customHeight="1">
      <c r="A538" s="70"/>
      <c r="B538" s="5"/>
      <c r="J538" s="70"/>
      <c r="K538" s="172"/>
    </row>
    <row r="539" ht="14.25" customHeight="1">
      <c r="A539" s="70"/>
      <c r="B539" s="5"/>
      <c r="J539" s="70"/>
      <c r="K539" s="172"/>
    </row>
    <row r="540" ht="14.25" customHeight="1">
      <c r="A540" s="70"/>
      <c r="B540" s="5"/>
      <c r="J540" s="70"/>
      <c r="K540" s="172"/>
    </row>
    <row r="541" ht="14.25" customHeight="1">
      <c r="A541" s="70"/>
      <c r="B541" s="5"/>
      <c r="J541" s="70"/>
      <c r="K541" s="172"/>
    </row>
    <row r="542" ht="14.25" customHeight="1">
      <c r="A542" s="70"/>
      <c r="B542" s="5"/>
      <c r="J542" s="70"/>
      <c r="K542" s="172"/>
    </row>
    <row r="543" ht="14.25" customHeight="1">
      <c r="A543" s="70"/>
      <c r="B543" s="5"/>
      <c r="J543" s="70"/>
      <c r="K543" s="172"/>
    </row>
    <row r="544" ht="14.25" customHeight="1">
      <c r="A544" s="70"/>
      <c r="B544" s="5"/>
      <c r="J544" s="70"/>
      <c r="K544" s="172"/>
    </row>
    <row r="545" ht="14.25" customHeight="1">
      <c r="A545" s="70"/>
      <c r="B545" s="5"/>
      <c r="J545" s="70"/>
      <c r="K545" s="172"/>
    </row>
    <row r="546" ht="14.25" customHeight="1">
      <c r="A546" s="70"/>
      <c r="B546" s="5"/>
      <c r="J546" s="70"/>
      <c r="K546" s="172"/>
    </row>
    <row r="547" ht="14.25" customHeight="1">
      <c r="A547" s="70"/>
      <c r="B547" s="5"/>
      <c r="J547" s="70"/>
      <c r="K547" s="172"/>
    </row>
    <row r="548" ht="14.25" customHeight="1">
      <c r="A548" s="70"/>
      <c r="B548" s="5"/>
      <c r="J548" s="70"/>
      <c r="K548" s="172"/>
    </row>
    <row r="549" ht="14.25" customHeight="1">
      <c r="A549" s="70"/>
      <c r="B549" s="5"/>
      <c r="J549" s="70"/>
      <c r="K549" s="172"/>
    </row>
    <row r="550" ht="14.25" customHeight="1">
      <c r="A550" s="70"/>
      <c r="B550" s="5"/>
      <c r="J550" s="70"/>
      <c r="K550" s="172"/>
    </row>
    <row r="551" ht="14.25" customHeight="1">
      <c r="A551" s="70"/>
      <c r="B551" s="5"/>
      <c r="J551" s="70"/>
      <c r="K551" s="172"/>
    </row>
    <row r="552" ht="14.25" customHeight="1">
      <c r="A552" s="70"/>
      <c r="B552" s="5"/>
      <c r="J552" s="70"/>
      <c r="K552" s="172"/>
    </row>
    <row r="553" ht="14.25" customHeight="1">
      <c r="A553" s="70"/>
      <c r="B553" s="5"/>
      <c r="J553" s="70"/>
      <c r="K553" s="172"/>
    </row>
    <row r="554" ht="14.25" customHeight="1">
      <c r="A554" s="70"/>
      <c r="B554" s="5"/>
      <c r="J554" s="70"/>
      <c r="K554" s="172"/>
    </row>
    <row r="555" ht="14.25" customHeight="1">
      <c r="A555" s="70"/>
      <c r="B555" s="5"/>
      <c r="J555" s="70"/>
      <c r="K555" s="172"/>
    </row>
    <row r="556" ht="14.25" customHeight="1">
      <c r="A556" s="70"/>
      <c r="B556" s="5"/>
      <c r="J556" s="70"/>
      <c r="K556" s="172"/>
    </row>
    <row r="557" ht="14.25" customHeight="1">
      <c r="A557" s="70"/>
      <c r="B557" s="5"/>
      <c r="J557" s="70"/>
      <c r="K557" s="172"/>
    </row>
    <row r="558" ht="14.25" customHeight="1">
      <c r="A558" s="70"/>
      <c r="B558" s="5"/>
      <c r="J558" s="70"/>
      <c r="K558" s="172"/>
    </row>
    <row r="559" ht="14.25" customHeight="1">
      <c r="A559" s="70"/>
      <c r="B559" s="5"/>
      <c r="J559" s="70"/>
      <c r="K559" s="172"/>
    </row>
    <row r="560" ht="14.25" customHeight="1">
      <c r="A560" s="70"/>
      <c r="B560" s="5"/>
      <c r="J560" s="70"/>
      <c r="K560" s="172"/>
    </row>
    <row r="561" ht="14.25" customHeight="1">
      <c r="A561" s="70"/>
      <c r="B561" s="5"/>
      <c r="J561" s="70"/>
      <c r="K561" s="172"/>
    </row>
    <row r="562" ht="14.25" customHeight="1">
      <c r="A562" s="70"/>
      <c r="B562" s="5"/>
      <c r="J562" s="70"/>
      <c r="K562" s="172"/>
    </row>
    <row r="563" ht="14.25" customHeight="1">
      <c r="A563" s="70"/>
      <c r="B563" s="5"/>
      <c r="J563" s="70"/>
      <c r="K563" s="172"/>
    </row>
    <row r="564" ht="14.25" customHeight="1">
      <c r="A564" s="70"/>
      <c r="B564" s="5"/>
      <c r="J564" s="70"/>
      <c r="K564" s="172"/>
    </row>
    <row r="565" ht="14.25" customHeight="1">
      <c r="A565" s="70"/>
      <c r="B565" s="5"/>
      <c r="J565" s="70"/>
      <c r="K565" s="172"/>
    </row>
    <row r="566" ht="14.25" customHeight="1">
      <c r="A566" s="70"/>
      <c r="B566" s="5"/>
      <c r="J566" s="70"/>
      <c r="K566" s="172"/>
    </row>
    <row r="567" ht="14.25" customHeight="1">
      <c r="A567" s="70"/>
      <c r="B567" s="5"/>
      <c r="J567" s="70"/>
      <c r="K567" s="172"/>
    </row>
    <row r="568" ht="14.25" customHeight="1">
      <c r="A568" s="70"/>
      <c r="B568" s="5"/>
      <c r="J568" s="70"/>
      <c r="K568" s="172"/>
    </row>
    <row r="569" ht="14.25" customHeight="1">
      <c r="A569" s="70"/>
      <c r="B569" s="5"/>
      <c r="J569" s="70"/>
      <c r="K569" s="172"/>
    </row>
    <row r="570" ht="14.25" customHeight="1">
      <c r="A570" s="70"/>
      <c r="B570" s="5"/>
      <c r="J570" s="70"/>
      <c r="K570" s="172"/>
    </row>
    <row r="571" ht="14.25" customHeight="1">
      <c r="A571" s="70"/>
      <c r="B571" s="5"/>
      <c r="J571" s="70"/>
      <c r="K571" s="172"/>
    </row>
    <row r="572" ht="14.25" customHeight="1">
      <c r="A572" s="70"/>
      <c r="B572" s="5"/>
      <c r="J572" s="70"/>
      <c r="K572" s="172"/>
    </row>
    <row r="573" ht="14.25" customHeight="1">
      <c r="A573" s="70"/>
      <c r="B573" s="5"/>
      <c r="J573" s="70"/>
      <c r="K573" s="172"/>
    </row>
    <row r="574" ht="14.25" customHeight="1">
      <c r="A574" s="70"/>
      <c r="B574" s="5"/>
      <c r="J574" s="70"/>
      <c r="K574" s="172"/>
    </row>
    <row r="575" ht="14.25" customHeight="1">
      <c r="A575" s="70"/>
      <c r="B575" s="5"/>
      <c r="J575" s="70"/>
      <c r="K575" s="172"/>
    </row>
    <row r="576" ht="14.25" customHeight="1">
      <c r="A576" s="70"/>
      <c r="B576" s="5"/>
      <c r="J576" s="70"/>
      <c r="K576" s="172"/>
    </row>
    <row r="577" ht="14.25" customHeight="1">
      <c r="A577" s="70"/>
      <c r="B577" s="5"/>
      <c r="J577" s="70"/>
      <c r="K577" s="172"/>
    </row>
    <row r="578" ht="14.25" customHeight="1">
      <c r="A578" s="70"/>
      <c r="B578" s="5"/>
      <c r="J578" s="70"/>
      <c r="K578" s="172"/>
    </row>
    <row r="579" ht="14.25" customHeight="1">
      <c r="A579" s="70"/>
      <c r="B579" s="5"/>
      <c r="J579" s="70"/>
      <c r="K579" s="172"/>
    </row>
    <row r="580" ht="14.25" customHeight="1">
      <c r="A580" s="70"/>
      <c r="B580" s="5"/>
      <c r="J580" s="70"/>
      <c r="K580" s="172"/>
    </row>
    <row r="581" ht="14.25" customHeight="1">
      <c r="A581" s="70"/>
      <c r="B581" s="5"/>
      <c r="J581" s="70"/>
      <c r="K581" s="172"/>
    </row>
    <row r="582" ht="14.25" customHeight="1">
      <c r="A582" s="70"/>
      <c r="B582" s="5"/>
      <c r="J582" s="70"/>
      <c r="K582" s="172"/>
    </row>
    <row r="583" ht="14.25" customHeight="1">
      <c r="A583" s="70"/>
      <c r="B583" s="5"/>
      <c r="J583" s="70"/>
      <c r="K583" s="172"/>
    </row>
    <row r="584" ht="14.25" customHeight="1">
      <c r="A584" s="70"/>
      <c r="B584" s="5"/>
      <c r="J584" s="70"/>
      <c r="K584" s="172"/>
    </row>
    <row r="585" ht="14.25" customHeight="1">
      <c r="A585" s="70"/>
      <c r="B585" s="5"/>
      <c r="J585" s="70"/>
      <c r="K585" s="172"/>
    </row>
    <row r="586" ht="14.25" customHeight="1">
      <c r="A586" s="70"/>
      <c r="B586" s="5"/>
      <c r="J586" s="70"/>
      <c r="K586" s="172"/>
    </row>
    <row r="587" ht="14.25" customHeight="1">
      <c r="A587" s="70"/>
      <c r="B587" s="5"/>
      <c r="J587" s="70"/>
      <c r="K587" s="172"/>
    </row>
    <row r="588" ht="14.25" customHeight="1">
      <c r="A588" s="70"/>
      <c r="B588" s="5"/>
      <c r="J588" s="70"/>
      <c r="K588" s="172"/>
    </row>
    <row r="589" ht="14.25" customHeight="1">
      <c r="A589" s="70"/>
      <c r="B589" s="5"/>
      <c r="J589" s="70"/>
      <c r="K589" s="172"/>
    </row>
    <row r="590" ht="14.25" customHeight="1">
      <c r="A590" s="70"/>
      <c r="B590" s="5"/>
      <c r="J590" s="70"/>
      <c r="K590" s="172"/>
    </row>
    <row r="591" ht="14.25" customHeight="1">
      <c r="A591" s="70"/>
      <c r="B591" s="5"/>
      <c r="J591" s="70"/>
      <c r="K591" s="172"/>
    </row>
    <row r="592" ht="14.25" customHeight="1">
      <c r="A592" s="70"/>
      <c r="B592" s="5"/>
      <c r="J592" s="70"/>
      <c r="K592" s="172"/>
    </row>
    <row r="593" ht="14.25" customHeight="1">
      <c r="A593" s="70"/>
      <c r="B593" s="5"/>
      <c r="J593" s="70"/>
      <c r="K593" s="172"/>
    </row>
    <row r="594" ht="14.25" customHeight="1">
      <c r="A594" s="70"/>
      <c r="B594" s="5"/>
      <c r="J594" s="70"/>
      <c r="K594" s="172"/>
    </row>
    <row r="595" ht="14.25" customHeight="1">
      <c r="A595" s="70"/>
      <c r="B595" s="5"/>
      <c r="J595" s="70"/>
      <c r="K595" s="172"/>
    </row>
    <row r="596" ht="14.25" customHeight="1">
      <c r="A596" s="70"/>
      <c r="B596" s="5"/>
      <c r="J596" s="70"/>
      <c r="K596" s="172"/>
    </row>
    <row r="597" ht="14.25" customHeight="1">
      <c r="A597" s="70"/>
      <c r="B597" s="5"/>
      <c r="J597" s="70"/>
      <c r="K597" s="172"/>
    </row>
    <row r="598" ht="14.25" customHeight="1">
      <c r="A598" s="70"/>
      <c r="B598" s="5"/>
      <c r="J598" s="70"/>
      <c r="K598" s="172"/>
    </row>
    <row r="599" ht="14.25" customHeight="1">
      <c r="A599" s="70"/>
      <c r="B599" s="5"/>
      <c r="J599" s="70"/>
      <c r="K599" s="172"/>
    </row>
    <row r="600" ht="14.25" customHeight="1">
      <c r="A600" s="70"/>
      <c r="B600" s="5"/>
      <c r="J600" s="70"/>
      <c r="K600" s="172"/>
    </row>
    <row r="601" ht="14.25" customHeight="1">
      <c r="A601" s="70"/>
      <c r="B601" s="5"/>
      <c r="J601" s="70"/>
      <c r="K601" s="172"/>
    </row>
    <row r="602" ht="14.25" customHeight="1">
      <c r="A602" s="70"/>
      <c r="B602" s="5"/>
      <c r="J602" s="70"/>
      <c r="K602" s="172"/>
    </row>
    <row r="603" ht="14.25" customHeight="1">
      <c r="A603" s="70"/>
      <c r="B603" s="5"/>
      <c r="J603" s="70"/>
      <c r="K603" s="172"/>
    </row>
    <row r="604" ht="14.25" customHeight="1">
      <c r="A604" s="70"/>
      <c r="B604" s="5"/>
      <c r="J604" s="70"/>
      <c r="K604" s="172"/>
    </row>
    <row r="605" ht="14.25" customHeight="1">
      <c r="A605" s="70"/>
      <c r="B605" s="5"/>
      <c r="J605" s="70"/>
      <c r="K605" s="172"/>
    </row>
    <row r="606" ht="14.25" customHeight="1">
      <c r="A606" s="70"/>
      <c r="B606" s="5"/>
      <c r="J606" s="70"/>
      <c r="K606" s="172"/>
    </row>
    <row r="607" ht="14.25" customHeight="1">
      <c r="A607" s="70"/>
      <c r="B607" s="5"/>
      <c r="J607" s="70"/>
      <c r="K607" s="172"/>
    </row>
    <row r="608" ht="14.25" customHeight="1">
      <c r="A608" s="70"/>
      <c r="B608" s="5"/>
      <c r="J608" s="70"/>
      <c r="K608" s="172"/>
    </row>
    <row r="609" ht="14.25" customHeight="1">
      <c r="A609" s="70"/>
      <c r="B609" s="5"/>
      <c r="J609" s="70"/>
      <c r="K609" s="172"/>
    </row>
    <row r="610" ht="14.25" customHeight="1">
      <c r="A610" s="70"/>
      <c r="B610" s="5"/>
      <c r="J610" s="70"/>
      <c r="K610" s="172"/>
    </row>
    <row r="611" ht="14.25" customHeight="1">
      <c r="A611" s="70"/>
      <c r="B611" s="5"/>
      <c r="J611" s="70"/>
      <c r="K611" s="172"/>
    </row>
    <row r="612" ht="14.25" customHeight="1">
      <c r="A612" s="70"/>
      <c r="B612" s="5"/>
      <c r="J612" s="70"/>
      <c r="K612" s="172"/>
    </row>
    <row r="613" ht="14.25" customHeight="1">
      <c r="A613" s="70"/>
      <c r="B613" s="5"/>
      <c r="J613" s="70"/>
      <c r="K613" s="172"/>
    </row>
    <row r="614" ht="14.25" customHeight="1">
      <c r="A614" s="70"/>
      <c r="B614" s="5"/>
      <c r="J614" s="70"/>
      <c r="K614" s="172"/>
    </row>
    <row r="615" ht="14.25" customHeight="1">
      <c r="A615" s="70"/>
      <c r="B615" s="5"/>
      <c r="J615" s="70"/>
      <c r="K615" s="172"/>
    </row>
    <row r="616" ht="14.25" customHeight="1">
      <c r="A616" s="70"/>
      <c r="B616" s="5"/>
      <c r="J616" s="70"/>
      <c r="K616" s="172"/>
    </row>
    <row r="617" ht="14.25" customHeight="1">
      <c r="A617" s="70"/>
      <c r="B617" s="5"/>
      <c r="J617" s="70"/>
      <c r="K617" s="172"/>
    </row>
    <row r="618" ht="14.25" customHeight="1">
      <c r="A618" s="70"/>
      <c r="B618" s="5"/>
      <c r="J618" s="70"/>
      <c r="K618" s="172"/>
    </row>
    <row r="619" ht="14.25" customHeight="1">
      <c r="A619" s="70"/>
      <c r="B619" s="5"/>
      <c r="J619" s="70"/>
      <c r="K619" s="172"/>
    </row>
    <row r="620" ht="14.25" customHeight="1">
      <c r="A620" s="70"/>
      <c r="B620" s="5"/>
      <c r="J620" s="70"/>
      <c r="K620" s="172"/>
    </row>
    <row r="621" ht="14.25" customHeight="1">
      <c r="A621" s="70"/>
      <c r="B621" s="5"/>
      <c r="J621" s="70"/>
      <c r="K621" s="172"/>
    </row>
    <row r="622" ht="14.25" customHeight="1">
      <c r="A622" s="70"/>
      <c r="B622" s="5"/>
      <c r="J622" s="70"/>
      <c r="K622" s="172"/>
    </row>
    <row r="623" ht="14.25" customHeight="1">
      <c r="A623" s="70"/>
      <c r="B623" s="5"/>
      <c r="J623" s="70"/>
      <c r="K623" s="172"/>
    </row>
    <row r="624" ht="14.25" customHeight="1">
      <c r="A624" s="70"/>
      <c r="B624" s="5"/>
      <c r="J624" s="70"/>
      <c r="K624" s="172"/>
    </row>
    <row r="625" ht="14.25" customHeight="1">
      <c r="A625" s="70"/>
      <c r="B625" s="5"/>
      <c r="J625" s="70"/>
      <c r="K625" s="172"/>
    </row>
    <row r="626" ht="14.25" customHeight="1">
      <c r="A626" s="70"/>
      <c r="B626" s="5"/>
      <c r="J626" s="70"/>
      <c r="K626" s="172"/>
    </row>
    <row r="627" ht="14.25" customHeight="1">
      <c r="A627" s="70"/>
      <c r="B627" s="5"/>
      <c r="J627" s="70"/>
      <c r="K627" s="172"/>
    </row>
    <row r="628" ht="14.25" customHeight="1">
      <c r="A628" s="70"/>
      <c r="B628" s="5"/>
      <c r="J628" s="70"/>
      <c r="K628" s="172"/>
    </row>
    <row r="629" ht="14.25" customHeight="1">
      <c r="A629" s="70"/>
      <c r="B629" s="5"/>
      <c r="J629" s="70"/>
      <c r="K629" s="172"/>
    </row>
    <row r="630" ht="14.25" customHeight="1">
      <c r="A630" s="70"/>
      <c r="B630" s="5"/>
      <c r="J630" s="70"/>
      <c r="K630" s="172"/>
    </row>
    <row r="631" ht="14.25" customHeight="1">
      <c r="A631" s="70"/>
      <c r="B631" s="5"/>
      <c r="J631" s="70"/>
      <c r="K631" s="172"/>
    </row>
    <row r="632" ht="14.25" customHeight="1">
      <c r="A632" s="70"/>
      <c r="B632" s="5"/>
      <c r="J632" s="70"/>
      <c r="K632" s="172"/>
    </row>
    <row r="633" ht="14.25" customHeight="1">
      <c r="A633" s="70"/>
      <c r="B633" s="5"/>
      <c r="J633" s="70"/>
      <c r="K633" s="172"/>
    </row>
    <row r="634" ht="14.25" customHeight="1">
      <c r="A634" s="70"/>
      <c r="B634" s="5"/>
      <c r="J634" s="70"/>
      <c r="K634" s="172"/>
    </row>
    <row r="635" ht="14.25" customHeight="1">
      <c r="A635" s="70"/>
      <c r="B635" s="5"/>
      <c r="J635" s="70"/>
      <c r="K635" s="172"/>
    </row>
    <row r="636" ht="14.25" customHeight="1">
      <c r="A636" s="70"/>
      <c r="B636" s="5"/>
      <c r="J636" s="70"/>
      <c r="K636" s="172"/>
    </row>
    <row r="637" ht="14.25" customHeight="1">
      <c r="A637" s="70"/>
      <c r="B637" s="5"/>
      <c r="J637" s="70"/>
      <c r="K637" s="172"/>
    </row>
    <row r="638" ht="14.25" customHeight="1">
      <c r="A638" s="70"/>
      <c r="B638" s="5"/>
      <c r="J638" s="70"/>
      <c r="K638" s="172"/>
    </row>
    <row r="639" ht="14.25" customHeight="1">
      <c r="A639" s="70"/>
      <c r="B639" s="5"/>
      <c r="J639" s="70"/>
      <c r="K639" s="172"/>
    </row>
    <row r="640" ht="14.25" customHeight="1">
      <c r="A640" s="70"/>
      <c r="B640" s="5"/>
      <c r="J640" s="70"/>
      <c r="K640" s="172"/>
    </row>
    <row r="641" ht="14.25" customHeight="1">
      <c r="A641" s="70"/>
      <c r="B641" s="5"/>
      <c r="J641" s="70"/>
      <c r="K641" s="172"/>
    </row>
    <row r="642" ht="14.25" customHeight="1">
      <c r="A642" s="70"/>
      <c r="B642" s="5"/>
      <c r="J642" s="70"/>
      <c r="K642" s="172"/>
    </row>
    <row r="643" ht="14.25" customHeight="1">
      <c r="A643" s="70"/>
      <c r="B643" s="5"/>
      <c r="J643" s="70"/>
      <c r="K643" s="172"/>
    </row>
    <row r="644" ht="14.25" customHeight="1">
      <c r="A644" s="70"/>
      <c r="B644" s="5"/>
      <c r="J644" s="70"/>
      <c r="K644" s="172"/>
    </row>
    <row r="645" ht="14.25" customHeight="1">
      <c r="A645" s="70"/>
      <c r="B645" s="5"/>
      <c r="J645" s="70"/>
      <c r="K645" s="172"/>
    </row>
    <row r="646" ht="14.25" customHeight="1">
      <c r="A646" s="70"/>
      <c r="B646" s="5"/>
      <c r="J646" s="70"/>
      <c r="K646" s="172"/>
    </row>
    <row r="647" ht="14.25" customHeight="1">
      <c r="A647" s="70"/>
      <c r="B647" s="5"/>
      <c r="J647" s="70"/>
      <c r="K647" s="172"/>
    </row>
    <row r="648" ht="14.25" customHeight="1">
      <c r="A648" s="70"/>
      <c r="B648" s="5"/>
      <c r="J648" s="70"/>
      <c r="K648" s="172"/>
    </row>
    <row r="649" ht="14.25" customHeight="1">
      <c r="A649" s="70"/>
      <c r="B649" s="5"/>
      <c r="J649" s="70"/>
      <c r="K649" s="172"/>
    </row>
    <row r="650" ht="14.25" customHeight="1">
      <c r="A650" s="70"/>
      <c r="B650" s="5"/>
      <c r="J650" s="70"/>
      <c r="K650" s="172"/>
    </row>
    <row r="651" ht="14.25" customHeight="1">
      <c r="A651" s="70"/>
      <c r="B651" s="5"/>
      <c r="J651" s="70"/>
      <c r="K651" s="172"/>
    </row>
    <row r="652" ht="14.25" customHeight="1">
      <c r="A652" s="70"/>
      <c r="B652" s="5"/>
      <c r="J652" s="70"/>
      <c r="K652" s="172"/>
    </row>
    <row r="653" ht="14.25" customHeight="1">
      <c r="A653" s="70"/>
      <c r="B653" s="5"/>
      <c r="J653" s="70"/>
      <c r="K653" s="172"/>
    </row>
    <row r="654" ht="14.25" customHeight="1">
      <c r="A654" s="70"/>
      <c r="B654" s="5"/>
      <c r="J654" s="70"/>
      <c r="K654" s="172"/>
    </row>
    <row r="655" ht="14.25" customHeight="1">
      <c r="A655" s="70"/>
      <c r="B655" s="5"/>
      <c r="J655" s="70"/>
      <c r="K655" s="172"/>
    </row>
    <row r="656" ht="14.25" customHeight="1">
      <c r="A656" s="70"/>
      <c r="B656" s="5"/>
      <c r="J656" s="70"/>
      <c r="K656" s="172"/>
    </row>
    <row r="657" ht="14.25" customHeight="1">
      <c r="A657" s="70"/>
      <c r="B657" s="5"/>
      <c r="J657" s="70"/>
      <c r="K657" s="172"/>
    </row>
    <row r="658" ht="14.25" customHeight="1">
      <c r="A658" s="70"/>
      <c r="B658" s="5"/>
      <c r="J658" s="70"/>
      <c r="K658" s="172"/>
    </row>
    <row r="659" ht="14.25" customHeight="1">
      <c r="A659" s="70"/>
      <c r="B659" s="5"/>
      <c r="J659" s="70"/>
      <c r="K659" s="172"/>
    </row>
    <row r="660" ht="14.25" customHeight="1">
      <c r="A660" s="70"/>
      <c r="B660" s="5"/>
      <c r="J660" s="70"/>
      <c r="K660" s="172"/>
    </row>
    <row r="661" ht="14.25" customHeight="1">
      <c r="A661" s="70"/>
      <c r="B661" s="5"/>
      <c r="J661" s="70"/>
      <c r="K661" s="172"/>
    </row>
    <row r="662" ht="14.25" customHeight="1">
      <c r="A662" s="70"/>
      <c r="B662" s="5"/>
      <c r="J662" s="70"/>
      <c r="K662" s="172"/>
    </row>
    <row r="663" ht="14.25" customHeight="1">
      <c r="A663" s="70"/>
      <c r="B663" s="5"/>
      <c r="J663" s="70"/>
      <c r="K663" s="172"/>
    </row>
    <row r="664" ht="14.25" customHeight="1">
      <c r="A664" s="70"/>
      <c r="B664" s="5"/>
      <c r="J664" s="70"/>
      <c r="K664" s="172"/>
    </row>
    <row r="665" ht="14.25" customHeight="1">
      <c r="A665" s="70"/>
      <c r="B665" s="5"/>
      <c r="J665" s="70"/>
      <c r="K665" s="172"/>
    </row>
    <row r="666" ht="14.25" customHeight="1">
      <c r="A666" s="70"/>
      <c r="B666" s="5"/>
      <c r="J666" s="70"/>
      <c r="K666" s="172"/>
    </row>
    <row r="667" ht="14.25" customHeight="1">
      <c r="A667" s="70"/>
      <c r="B667" s="5"/>
      <c r="J667" s="70"/>
      <c r="K667" s="172"/>
    </row>
    <row r="668" ht="14.25" customHeight="1">
      <c r="A668" s="70"/>
      <c r="B668" s="5"/>
      <c r="J668" s="70"/>
      <c r="K668" s="172"/>
    </row>
    <row r="669" ht="14.25" customHeight="1">
      <c r="A669" s="70"/>
      <c r="B669" s="5"/>
      <c r="J669" s="70"/>
      <c r="K669" s="172"/>
    </row>
    <row r="670" ht="14.25" customHeight="1">
      <c r="A670" s="70"/>
      <c r="B670" s="5"/>
      <c r="J670" s="70"/>
      <c r="K670" s="172"/>
    </row>
    <row r="671" ht="14.25" customHeight="1">
      <c r="A671" s="70"/>
      <c r="B671" s="5"/>
      <c r="J671" s="70"/>
      <c r="K671" s="172"/>
    </row>
    <row r="672" ht="14.25" customHeight="1">
      <c r="A672" s="70"/>
      <c r="B672" s="5"/>
      <c r="J672" s="70"/>
      <c r="K672" s="172"/>
    </row>
    <row r="673" ht="14.25" customHeight="1">
      <c r="A673" s="70"/>
      <c r="B673" s="5"/>
      <c r="J673" s="70"/>
      <c r="K673" s="172"/>
    </row>
    <row r="674" ht="14.25" customHeight="1">
      <c r="A674" s="70"/>
      <c r="B674" s="5"/>
      <c r="J674" s="70"/>
      <c r="K674" s="172"/>
    </row>
    <row r="675" ht="14.25" customHeight="1">
      <c r="A675" s="70"/>
      <c r="B675" s="5"/>
      <c r="J675" s="70"/>
      <c r="K675" s="172"/>
    </row>
    <row r="676" ht="14.25" customHeight="1">
      <c r="A676" s="70"/>
      <c r="B676" s="5"/>
      <c r="J676" s="70"/>
      <c r="K676" s="172"/>
    </row>
    <row r="677" ht="14.25" customHeight="1">
      <c r="A677" s="70"/>
      <c r="B677" s="5"/>
      <c r="J677" s="70"/>
      <c r="K677" s="172"/>
    </row>
    <row r="678" ht="14.25" customHeight="1">
      <c r="A678" s="70"/>
      <c r="B678" s="5"/>
      <c r="J678" s="70"/>
      <c r="K678" s="172"/>
    </row>
    <row r="679" ht="14.25" customHeight="1">
      <c r="A679" s="70"/>
      <c r="B679" s="5"/>
      <c r="J679" s="70"/>
      <c r="K679" s="172"/>
    </row>
    <row r="680" ht="14.25" customHeight="1">
      <c r="A680" s="70"/>
      <c r="B680" s="5"/>
      <c r="J680" s="70"/>
      <c r="K680" s="172"/>
    </row>
    <row r="681" ht="14.25" customHeight="1">
      <c r="A681" s="70"/>
      <c r="B681" s="5"/>
      <c r="J681" s="70"/>
      <c r="K681" s="172"/>
    </row>
    <row r="682" ht="14.25" customHeight="1">
      <c r="A682" s="70"/>
      <c r="B682" s="5"/>
      <c r="J682" s="70"/>
      <c r="K682" s="172"/>
    </row>
    <row r="683" ht="14.25" customHeight="1">
      <c r="A683" s="70"/>
      <c r="B683" s="5"/>
      <c r="J683" s="70"/>
      <c r="K683" s="172"/>
    </row>
    <row r="684" ht="14.25" customHeight="1">
      <c r="A684" s="70"/>
      <c r="B684" s="5"/>
      <c r="J684" s="70"/>
      <c r="K684" s="172"/>
    </row>
    <row r="685" ht="14.25" customHeight="1">
      <c r="A685" s="70"/>
      <c r="B685" s="5"/>
      <c r="J685" s="70"/>
      <c r="K685" s="172"/>
    </row>
    <row r="686" ht="14.25" customHeight="1">
      <c r="A686" s="70"/>
      <c r="B686" s="5"/>
      <c r="J686" s="70"/>
      <c r="K686" s="172"/>
    </row>
    <row r="687" ht="14.25" customHeight="1">
      <c r="A687" s="70"/>
      <c r="B687" s="5"/>
      <c r="J687" s="70"/>
      <c r="K687" s="172"/>
    </row>
    <row r="688" ht="14.25" customHeight="1">
      <c r="A688" s="70"/>
      <c r="B688" s="5"/>
      <c r="J688" s="70"/>
      <c r="K688" s="172"/>
    </row>
    <row r="689" ht="14.25" customHeight="1">
      <c r="A689" s="70"/>
      <c r="B689" s="5"/>
      <c r="J689" s="70"/>
      <c r="K689" s="172"/>
    </row>
    <row r="690" ht="14.25" customHeight="1">
      <c r="A690" s="70"/>
      <c r="B690" s="5"/>
      <c r="J690" s="70"/>
      <c r="K690" s="172"/>
    </row>
    <row r="691" ht="14.25" customHeight="1">
      <c r="A691" s="70"/>
      <c r="B691" s="5"/>
      <c r="J691" s="70"/>
      <c r="K691" s="172"/>
    </row>
    <row r="692" ht="14.25" customHeight="1">
      <c r="A692" s="70"/>
      <c r="B692" s="5"/>
      <c r="J692" s="70"/>
      <c r="K692" s="172"/>
    </row>
    <row r="693" ht="14.25" customHeight="1">
      <c r="A693" s="70"/>
      <c r="B693" s="5"/>
      <c r="J693" s="70"/>
      <c r="K693" s="172"/>
    </row>
    <row r="694" ht="14.25" customHeight="1">
      <c r="A694" s="70"/>
      <c r="B694" s="5"/>
      <c r="J694" s="70"/>
      <c r="K694" s="172"/>
    </row>
    <row r="695" ht="14.25" customHeight="1">
      <c r="A695" s="70"/>
      <c r="B695" s="5"/>
      <c r="J695" s="70"/>
      <c r="K695" s="172"/>
    </row>
    <row r="696" ht="14.25" customHeight="1">
      <c r="A696" s="70"/>
      <c r="B696" s="5"/>
      <c r="J696" s="70"/>
      <c r="K696" s="172"/>
    </row>
    <row r="697" ht="14.25" customHeight="1">
      <c r="A697" s="70"/>
      <c r="B697" s="5"/>
      <c r="J697" s="70"/>
      <c r="K697" s="172"/>
    </row>
    <row r="698" ht="14.25" customHeight="1">
      <c r="A698" s="70"/>
      <c r="B698" s="5"/>
      <c r="J698" s="70"/>
      <c r="K698" s="172"/>
    </row>
    <row r="699" ht="14.25" customHeight="1">
      <c r="A699" s="70"/>
      <c r="B699" s="5"/>
      <c r="J699" s="70"/>
      <c r="K699" s="172"/>
    </row>
    <row r="700" ht="14.25" customHeight="1">
      <c r="A700" s="70"/>
      <c r="B700" s="5"/>
      <c r="J700" s="70"/>
      <c r="K700" s="172"/>
    </row>
    <row r="701" ht="14.25" customHeight="1">
      <c r="A701" s="70"/>
      <c r="B701" s="5"/>
      <c r="J701" s="70"/>
      <c r="K701" s="172"/>
    </row>
    <row r="702" ht="14.25" customHeight="1">
      <c r="A702" s="70"/>
      <c r="B702" s="5"/>
      <c r="J702" s="70"/>
      <c r="K702" s="172"/>
    </row>
    <row r="703" ht="14.25" customHeight="1">
      <c r="A703" s="70"/>
      <c r="B703" s="5"/>
      <c r="J703" s="70"/>
      <c r="K703" s="172"/>
    </row>
    <row r="704" ht="14.25" customHeight="1">
      <c r="A704" s="70"/>
      <c r="B704" s="5"/>
      <c r="J704" s="70"/>
      <c r="K704" s="172"/>
    </row>
    <row r="705" ht="14.25" customHeight="1">
      <c r="A705" s="70"/>
      <c r="B705" s="5"/>
      <c r="J705" s="70"/>
      <c r="K705" s="172"/>
    </row>
    <row r="706" ht="14.25" customHeight="1">
      <c r="A706" s="70"/>
      <c r="B706" s="5"/>
      <c r="J706" s="70"/>
      <c r="K706" s="172"/>
    </row>
    <row r="707" ht="14.25" customHeight="1">
      <c r="A707" s="70"/>
      <c r="B707" s="5"/>
      <c r="J707" s="70"/>
      <c r="K707" s="172"/>
    </row>
    <row r="708" ht="14.25" customHeight="1">
      <c r="A708" s="70"/>
      <c r="B708" s="5"/>
      <c r="J708" s="70"/>
      <c r="K708" s="172"/>
    </row>
    <row r="709" ht="14.25" customHeight="1">
      <c r="A709" s="70"/>
      <c r="B709" s="5"/>
      <c r="J709" s="70"/>
      <c r="K709" s="172"/>
    </row>
    <row r="710" ht="14.25" customHeight="1">
      <c r="A710" s="70"/>
      <c r="B710" s="5"/>
      <c r="J710" s="70"/>
      <c r="K710" s="172"/>
    </row>
    <row r="711" ht="14.25" customHeight="1">
      <c r="A711" s="70"/>
      <c r="B711" s="5"/>
      <c r="J711" s="70"/>
      <c r="K711" s="172"/>
    </row>
    <row r="712" ht="14.25" customHeight="1">
      <c r="A712" s="70"/>
      <c r="B712" s="5"/>
      <c r="J712" s="70"/>
      <c r="K712" s="172"/>
    </row>
    <row r="713" ht="14.25" customHeight="1">
      <c r="A713" s="70"/>
      <c r="B713" s="5"/>
      <c r="J713" s="70"/>
      <c r="K713" s="172"/>
    </row>
    <row r="714" ht="14.25" customHeight="1">
      <c r="A714" s="70"/>
      <c r="B714" s="5"/>
      <c r="J714" s="70"/>
      <c r="K714" s="172"/>
    </row>
    <row r="715" ht="14.25" customHeight="1">
      <c r="A715" s="70"/>
      <c r="B715" s="5"/>
      <c r="J715" s="70"/>
      <c r="K715" s="172"/>
    </row>
    <row r="716" ht="14.25" customHeight="1">
      <c r="A716" s="70"/>
      <c r="B716" s="5"/>
      <c r="J716" s="70"/>
      <c r="K716" s="172"/>
    </row>
    <row r="717" ht="14.25" customHeight="1">
      <c r="A717" s="70"/>
      <c r="B717" s="5"/>
      <c r="J717" s="70"/>
      <c r="K717" s="172"/>
    </row>
    <row r="718" ht="14.25" customHeight="1">
      <c r="A718" s="70"/>
      <c r="B718" s="5"/>
      <c r="J718" s="70"/>
      <c r="K718" s="172"/>
    </row>
    <row r="719" ht="14.25" customHeight="1">
      <c r="A719" s="70"/>
      <c r="B719" s="5"/>
      <c r="J719" s="70"/>
      <c r="K719" s="172"/>
    </row>
    <row r="720" ht="14.25" customHeight="1">
      <c r="A720" s="70"/>
      <c r="B720" s="5"/>
      <c r="J720" s="70"/>
      <c r="K720" s="172"/>
    </row>
    <row r="721" ht="14.25" customHeight="1">
      <c r="A721" s="70"/>
      <c r="B721" s="5"/>
      <c r="J721" s="70"/>
      <c r="K721" s="172"/>
    </row>
    <row r="722" ht="14.25" customHeight="1">
      <c r="A722" s="70"/>
      <c r="B722" s="5"/>
      <c r="J722" s="70"/>
      <c r="K722" s="172"/>
    </row>
    <row r="723" ht="14.25" customHeight="1">
      <c r="A723" s="70"/>
      <c r="B723" s="5"/>
      <c r="J723" s="70"/>
      <c r="K723" s="172"/>
    </row>
    <row r="724" ht="14.25" customHeight="1">
      <c r="A724" s="70"/>
      <c r="B724" s="5"/>
      <c r="J724" s="70"/>
      <c r="K724" s="172"/>
    </row>
    <row r="725" ht="14.25" customHeight="1">
      <c r="A725" s="70"/>
      <c r="B725" s="5"/>
      <c r="J725" s="70"/>
      <c r="K725" s="172"/>
    </row>
    <row r="726" ht="14.25" customHeight="1">
      <c r="A726" s="70"/>
      <c r="B726" s="5"/>
      <c r="J726" s="70"/>
      <c r="K726" s="172"/>
    </row>
    <row r="727" ht="14.25" customHeight="1">
      <c r="A727" s="70"/>
      <c r="B727" s="5"/>
      <c r="J727" s="70"/>
      <c r="K727" s="172"/>
    </row>
    <row r="728" ht="14.25" customHeight="1">
      <c r="A728" s="70"/>
      <c r="B728" s="5"/>
      <c r="J728" s="70"/>
      <c r="K728" s="172"/>
    </row>
    <row r="729" ht="14.25" customHeight="1">
      <c r="A729" s="70"/>
      <c r="B729" s="5"/>
      <c r="J729" s="70"/>
      <c r="K729" s="172"/>
    </row>
    <row r="730" ht="14.25" customHeight="1">
      <c r="A730" s="70"/>
      <c r="B730" s="5"/>
      <c r="J730" s="70"/>
      <c r="K730" s="172"/>
    </row>
    <row r="731" ht="14.25" customHeight="1">
      <c r="A731" s="70"/>
      <c r="B731" s="5"/>
      <c r="J731" s="70"/>
      <c r="K731" s="172"/>
    </row>
    <row r="732" ht="14.25" customHeight="1">
      <c r="A732" s="70"/>
      <c r="B732" s="5"/>
      <c r="J732" s="70"/>
      <c r="K732" s="172"/>
    </row>
    <row r="733" ht="14.25" customHeight="1">
      <c r="A733" s="70"/>
      <c r="B733" s="5"/>
      <c r="J733" s="70"/>
      <c r="K733" s="172"/>
    </row>
    <row r="734" ht="14.25" customHeight="1">
      <c r="A734" s="70"/>
      <c r="B734" s="5"/>
      <c r="J734" s="70"/>
      <c r="K734" s="172"/>
    </row>
    <row r="735" ht="14.25" customHeight="1">
      <c r="A735" s="70"/>
      <c r="B735" s="5"/>
      <c r="J735" s="70"/>
      <c r="K735" s="172"/>
    </row>
    <row r="736" ht="14.25" customHeight="1">
      <c r="A736" s="70"/>
      <c r="B736" s="5"/>
      <c r="J736" s="70"/>
      <c r="K736" s="172"/>
    </row>
    <row r="737" ht="14.25" customHeight="1">
      <c r="A737" s="70"/>
      <c r="B737" s="5"/>
      <c r="J737" s="70"/>
      <c r="K737" s="172"/>
    </row>
    <row r="738" ht="14.25" customHeight="1">
      <c r="A738" s="70"/>
      <c r="B738" s="5"/>
      <c r="J738" s="70"/>
      <c r="K738" s="172"/>
    </row>
    <row r="739" ht="14.25" customHeight="1">
      <c r="A739" s="70"/>
      <c r="B739" s="5"/>
      <c r="J739" s="70"/>
      <c r="K739" s="172"/>
    </row>
    <row r="740" ht="14.25" customHeight="1">
      <c r="A740" s="70"/>
      <c r="B740" s="5"/>
      <c r="J740" s="70"/>
      <c r="K740" s="172"/>
    </row>
    <row r="741" ht="14.25" customHeight="1">
      <c r="A741" s="70"/>
      <c r="B741" s="5"/>
      <c r="J741" s="70"/>
      <c r="K741" s="172"/>
    </row>
    <row r="742" ht="14.25" customHeight="1">
      <c r="A742" s="70"/>
      <c r="B742" s="5"/>
      <c r="J742" s="70"/>
      <c r="K742" s="172"/>
    </row>
    <row r="743" ht="14.25" customHeight="1">
      <c r="A743" s="70"/>
      <c r="B743" s="5"/>
      <c r="J743" s="70"/>
      <c r="K743" s="172"/>
    </row>
    <row r="744" ht="14.25" customHeight="1">
      <c r="A744" s="70"/>
      <c r="B744" s="5"/>
      <c r="J744" s="70"/>
      <c r="K744" s="172"/>
    </row>
    <row r="745" ht="14.25" customHeight="1">
      <c r="A745" s="70"/>
      <c r="B745" s="5"/>
      <c r="J745" s="70"/>
      <c r="K745" s="172"/>
    </row>
    <row r="746" ht="14.25" customHeight="1">
      <c r="A746" s="70"/>
      <c r="B746" s="5"/>
      <c r="J746" s="70"/>
      <c r="K746" s="172"/>
    </row>
    <row r="747" ht="14.25" customHeight="1">
      <c r="A747" s="70"/>
      <c r="B747" s="5"/>
      <c r="J747" s="70"/>
      <c r="K747" s="172"/>
    </row>
    <row r="748" ht="14.25" customHeight="1">
      <c r="A748" s="70"/>
      <c r="B748" s="5"/>
      <c r="J748" s="70"/>
      <c r="K748" s="172"/>
    </row>
    <row r="749" ht="14.25" customHeight="1">
      <c r="A749" s="70"/>
      <c r="B749" s="5"/>
      <c r="J749" s="70"/>
      <c r="K749" s="172"/>
    </row>
    <row r="750" ht="14.25" customHeight="1">
      <c r="A750" s="70"/>
      <c r="B750" s="5"/>
      <c r="J750" s="70"/>
      <c r="K750" s="172"/>
    </row>
    <row r="751" ht="14.25" customHeight="1">
      <c r="A751" s="70"/>
      <c r="B751" s="5"/>
      <c r="J751" s="70"/>
      <c r="K751" s="172"/>
    </row>
    <row r="752" ht="14.25" customHeight="1">
      <c r="A752" s="70"/>
      <c r="B752" s="5"/>
      <c r="J752" s="70"/>
      <c r="K752" s="172"/>
    </row>
    <row r="753" ht="14.25" customHeight="1">
      <c r="A753" s="70"/>
      <c r="B753" s="5"/>
      <c r="J753" s="70"/>
      <c r="K753" s="172"/>
    </row>
    <row r="754" ht="14.25" customHeight="1">
      <c r="A754" s="70"/>
      <c r="B754" s="5"/>
      <c r="J754" s="70"/>
      <c r="K754" s="172"/>
    </row>
    <row r="755" ht="14.25" customHeight="1">
      <c r="A755" s="70"/>
      <c r="B755" s="5"/>
      <c r="J755" s="70"/>
      <c r="K755" s="172"/>
    </row>
    <row r="756" ht="14.25" customHeight="1">
      <c r="A756" s="70"/>
      <c r="B756" s="5"/>
      <c r="J756" s="70"/>
      <c r="K756" s="172"/>
    </row>
  </sheetData>
  <autoFilter ref="$A$2:$K$2"/>
  <printOptions/>
  <pageMargins bottom="0.75" footer="0.0" header="0.0" left="0.7" right="0.7" top="0.75"/>
  <pageSetup orientation="landscape"/>
  <drawing r:id="rId1"/>
</worksheet>
</file>